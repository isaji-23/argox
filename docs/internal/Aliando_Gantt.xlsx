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ertex42.com\Documents\VERTEX42\TEMPLATES\TEMPLATE - MICROSOFT\"/>
    </mc:Choice>
  </mc:AlternateContent>
  <xr:revisionPtr revIDLastSave="0" documentId="8_{53571421-0099-44A7-B052-FE4FFE7BC03F}" xr6:coauthVersionLast="47" xr6:coauthVersionMax="47" xr10:uidLastSave="{00000000-0000-0000-0000-000000000000}"/>
  <bookViews>
    <workbookView xWindow="390" yWindow="390" windowWidth="23955" windowHeight="14385" xr2:uid="{00000000-000D-0000-FFFF-FFFF00000000}"/>
  </bookViews>
  <sheets>
    <sheet name="ProjectSchedule" sheetId="11" r:id="rId1"/>
  </sheets>
  <definedNames>
    <definedName name="_xlnm.Print_Area" localSheetId="0">ProjectSchedule!$1:$46</definedName>
    <definedName name="task_end" localSheetId="0">ProjectSchedule!$F1</definedName>
    <definedName name="task_progress" localSheetId="0">ProjectSchedule!$D1</definedName>
    <definedName name="task_start" localSheetId="0">ProjectSchedule!$E1</definedName>
    <definedName name="_xlnm.Print_Titles" localSheetId="0">ProjectSchedule!$4:$6</definedName>
    <definedName name="today" localSheetId="0">ProjectSchedule!$E$3</definedName>
    <definedName name="valuevx">42.314159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1" l="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2" i="11"/>
  <c r="H11" i="11"/>
  <c r="H10" i="11"/>
  <c r="H9" i="11"/>
  <c r="H8" i="11"/>
  <c r="H7" i="11"/>
  <c r="I5" i="11" l="1"/>
  <c r="I6" i="11" l="1"/>
  <c r="J5" i="11" l="1"/>
  <c r="K5" i="11" s="1"/>
  <c r="L5" i="11" s="1"/>
  <c r="M5" i="11" s="1"/>
  <c r="N5" i="11" s="1"/>
  <c r="O5" i="11" s="1"/>
  <c r="P5" i="11" s="1"/>
  <c r="I4" i="11"/>
  <c r="P4" i="11" l="1"/>
  <c r="Q5" i="11"/>
  <c r="R5" i="11" s="1"/>
  <c r="S5" i="11" s="1"/>
  <c r="T5" i="11" s="1"/>
  <c r="U5" i="11" s="1"/>
  <c r="V5" i="11" s="1"/>
  <c r="W5" i="11" s="1"/>
  <c r="J6" i="11"/>
  <c r="W4" i="11" l="1"/>
  <c r="X5" i="11"/>
  <c r="Y5" i="11" s="1"/>
  <c r="Z5" i="11" s="1"/>
  <c r="AA5" i="11" s="1"/>
  <c r="AB5" i="11" s="1"/>
  <c r="AC5" i="11" s="1"/>
  <c r="AD5" i="11" s="1"/>
  <c r="K6" i="11"/>
  <c r="AE5" i="11" l="1"/>
  <c r="AF5" i="11" s="1"/>
  <c r="AG5" i="11" s="1"/>
  <c r="AH5" i="11" s="1"/>
  <c r="AI5" i="11" s="1"/>
  <c r="AJ5" i="11" s="1"/>
  <c r="AD4" i="11"/>
  <c r="L6" i="11"/>
  <c r="AK5" i="11" l="1"/>
  <c r="AL5" i="11" s="1"/>
  <c r="AM5" i="11" s="1"/>
  <c r="AN5" i="11" s="1"/>
  <c r="AO5" i="11" s="1"/>
  <c r="AP5" i="11" s="1"/>
  <c r="AQ5" i="11" s="1"/>
  <c r="M6" i="11"/>
  <c r="AR5" i="11" l="1"/>
  <c r="AS5" i="11" s="1"/>
  <c r="AK4" i="11"/>
  <c r="N6" i="11"/>
  <c r="AT5" i="11" l="1"/>
  <c r="AS6" i="11"/>
  <c r="AR4" i="11"/>
  <c r="O6" i="11"/>
  <c r="AU5" i="11" l="1"/>
  <c r="AT6" i="11"/>
  <c r="AV5" i="11" l="1"/>
  <c r="AU6" i="11"/>
  <c r="P6" i="11"/>
  <c r="Q6" i="11"/>
  <c r="AW5" i="11" l="1"/>
  <c r="AV6" i="11"/>
  <c r="R6" i="11"/>
  <c r="AX5" i="11" l="1"/>
  <c r="AY5" i="11" s="1"/>
  <c r="AW6" i="11"/>
  <c r="S6" i="11"/>
  <c r="AY6" i="11" l="1"/>
  <c r="AZ5" i="11"/>
  <c r="AY4" i="11"/>
  <c r="AX6" i="11"/>
  <c r="T6" i="11"/>
  <c r="BA5" i="11" l="1"/>
  <c r="AZ6" i="11"/>
  <c r="U6" i="11"/>
  <c r="BA6" i="11" l="1"/>
  <c r="BB5" i="11"/>
  <c r="V6" i="11"/>
  <c r="BB6" i="11" l="1"/>
  <c r="BC5" i="11"/>
  <c r="W6" i="11"/>
  <c r="BC6" i="11" l="1"/>
  <c r="BD5" i="11"/>
  <c r="X6" i="11"/>
  <c r="BE5" i="11" l="1"/>
  <c r="BD6" i="11"/>
  <c r="Y6" i="11"/>
  <c r="BE6" i="11" l="1"/>
  <c r="BF5" i="11"/>
  <c r="Z6" i="11"/>
  <c r="BF6" i="11" l="1"/>
  <c r="BG5" i="11"/>
  <c r="BF4" i="11"/>
  <c r="AA6" i="11"/>
  <c r="BG6" i="11" l="1"/>
  <c r="BH5" i="11"/>
  <c r="AB6" i="11"/>
  <c r="BI5" i="11" l="1"/>
  <c r="BH6" i="11"/>
  <c r="AC6" i="11"/>
  <c r="BJ5" i="11" l="1"/>
  <c r="BI6" i="11"/>
  <c r="AD6" i="11"/>
  <c r="BK5" i="11" l="1"/>
  <c r="BJ6" i="11"/>
  <c r="AE6" i="11"/>
  <c r="BL5" i="11" l="1"/>
  <c r="BM5" i="11" s="1"/>
  <c r="BK6" i="11"/>
  <c r="AF6" i="11"/>
  <c r="BM4" i="11" l="1"/>
  <c r="BM6" i="11"/>
  <c r="BN5" i="11"/>
  <c r="BL6" i="11"/>
  <c r="AG6" i="11"/>
  <c r="BN6" i="11" l="1"/>
  <c r="BO5" i="11"/>
  <c r="AH6" i="11"/>
  <c r="BO6" i="11" l="1"/>
  <c r="BP5" i="11"/>
  <c r="AI6" i="11"/>
  <c r="BP6" i="11" l="1"/>
  <c r="BQ5" i="11"/>
  <c r="AJ6" i="11"/>
  <c r="BQ6" i="11" l="1"/>
  <c r="BR5" i="11"/>
  <c r="AK6" i="11"/>
  <c r="BR6" i="11" l="1"/>
  <c r="BS5" i="11"/>
  <c r="AL6" i="11"/>
  <c r="BS6" i="11" l="1"/>
  <c r="BT5" i="11"/>
  <c r="AM6" i="11"/>
  <c r="BT4" i="11" l="1"/>
  <c r="BT6" i="11"/>
  <c r="BU5" i="11"/>
  <c r="AN6" i="11"/>
  <c r="BU6" i="11" l="1"/>
  <c r="BV5" i="11"/>
  <c r="AO6" i="11"/>
  <c r="BV6" i="11" l="1"/>
  <c r="BW5" i="11"/>
  <c r="AP6" i="11"/>
  <c r="BW6" i="11" l="1"/>
  <c r="BX5" i="11"/>
  <c r="AQ6" i="11"/>
  <c r="BX6" i="11" l="1"/>
  <c r="BY5" i="11"/>
  <c r="AR6" i="11"/>
  <c r="BY6" i="11" l="1"/>
  <c r="BZ5" i="11"/>
  <c r="BZ6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Vertex42.com Templates</author>
  </authors>
  <commentList>
    <comment ref="H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DAYS:</t>
        </r>
        <r>
          <rPr>
            <sz val="9"/>
            <color indexed="81"/>
            <rFont val="Tahoma"/>
            <family val="2"/>
          </rPr>
          <t xml:space="preserve">
This column calculates the duration of the task in calendar days. The duration includes both the Start and End dates.</t>
        </r>
      </text>
    </comment>
  </commentList>
</comments>
</file>

<file path=xl/sharedStrings.xml><?xml version="1.0" encoding="utf-8"?>
<sst xmlns="http://schemas.openxmlformats.org/spreadsheetml/2006/main" count="47" uniqueCount="32">
  <si>
    <t>Argox</t>
  </si>
  <si>
    <t>Aliando</t>
  </si>
  <si>
    <t>Project Start:</t>
  </si>
  <si>
    <t>Today:</t>
  </si>
  <si>
    <t>Display Week:</t>
  </si>
  <si>
    <t>TASK</t>
  </si>
  <si>
    <t>ASSIGNED
TO</t>
  </si>
  <si>
    <t>PROGRESS</t>
  </si>
  <si>
    <t>START</t>
  </si>
  <si>
    <t>END</t>
  </si>
  <si>
    <t>DAYS</t>
  </si>
  <si>
    <t>Sprint 1 Core y Observabilidad</t>
  </si>
  <si>
    <t>1. Planear arquitectura</t>
  </si>
  <si>
    <t>2.1 Diseñar y programar el decorador base</t>
  </si>
  <si>
    <t>2.2 Implementar la captura de metadatos</t>
  </si>
  <si>
    <t>2.3 Crear el sistema de contexto</t>
  </si>
  <si>
    <t>3.1 Configurar el SDK con OpenTelemetry</t>
  </si>
  <si>
    <t>3.2 Desarrollar el mapeador a estádar OTel</t>
  </si>
  <si>
    <t>3.3 Configurar la exportación de los datos</t>
  </si>
  <si>
    <t>4.1 Desarrollar benchmark de rendimiento</t>
  </si>
  <si>
    <t>4.2 Desarrollar entorno de prueba para visualizar trazas</t>
  </si>
  <si>
    <t>4.3 Testing de integración</t>
  </si>
  <si>
    <t>Phase 2 Title</t>
  </si>
  <si>
    <t>Task 1</t>
  </si>
  <si>
    <t>Task 2</t>
  </si>
  <si>
    <t>Task 3</t>
  </si>
  <si>
    <t>Task 4</t>
  </si>
  <si>
    <t>Task 5</t>
  </si>
  <si>
    <t>Phase 3 Title</t>
  </si>
  <si>
    <t>Phase 4 Title</t>
  </si>
  <si>
    <t>Phase 5 Title</t>
  </si>
  <si>
    <t>Insert new rows ABOVE this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</si>
</sst>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/yy;@"/>
    <numFmt numFmtId="165" formatCode="mmm\ d\,\ yyyy"/>
    <numFmt numFmtId="166" formatCode="d"/>
  </numFmts>
  <fonts count="23">
    <font>
      <sz val="11"/>
      <color theme="1"/>
      <name val="Calibri"/>
      <family val="2"/>
      <scheme val="minor"/>
    </font>
    <font>
      <b/>
      <sz val="20"/>
      <color theme="4" tint="-0.249977111117893"/>
      <name val="Calibri"/>
      <family val="2"/>
      <scheme val="maj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0"/>
      <color theme="1" tint="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theme="0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16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 tint="0.499984740745262"/>
      <name val="Arial"/>
      <family val="2"/>
    </font>
    <font>
      <u/>
      <sz val="9"/>
      <color theme="4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/>
      </patternFill>
    </fill>
  </fills>
  <borders count="12">
    <border>
      <left/>
      <right/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medium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medium">
        <color theme="0" tint="-0.14996795556505021"/>
      </top>
      <bottom style="medium">
        <color theme="0" tint="-0.1499679555650502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9" fontId="10" fillId="0" borderId="0" applyFont="0" applyFill="0" applyBorder="0" applyAlignment="0" applyProtection="0"/>
  </cellStyleXfs>
  <cellXfs count="93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1" fillId="0" borderId="0" xfId="0" applyFont="1"/>
    <xf numFmtId="0" fontId="7" fillId="15" borderId="1" xfId="0" applyFont="1" applyFill="1" applyBorder="1" applyAlignment="1">
      <alignment horizontal="left" vertical="center" indent="1"/>
    </xf>
    <xf numFmtId="0" fontId="7" fillId="15" borderId="1" xfId="0" applyFont="1" applyFill="1" applyBorder="1" applyAlignment="1">
      <alignment horizontal="center" vertical="center" wrapText="1"/>
    </xf>
    <xf numFmtId="166" fontId="12" fillId="8" borderId="0" xfId="0" applyNumberFormat="1" applyFont="1" applyFill="1" applyAlignment="1">
      <alignment horizontal="center" vertical="center"/>
    </xf>
    <xf numFmtId="166" fontId="12" fillId="8" borderId="8" xfId="0" applyNumberFormat="1" applyFont="1" applyFill="1" applyBorder="1" applyAlignment="1">
      <alignment horizontal="center" vertical="center"/>
    </xf>
    <xf numFmtId="166" fontId="12" fillId="8" borderId="9" xfId="0" applyNumberFormat="1" applyFont="1" applyFill="1" applyBorder="1" applyAlignment="1">
      <alignment horizontal="center" vertical="center"/>
    </xf>
    <xf numFmtId="0" fontId="15" fillId="14" borderId="10" xfId="0" applyFont="1" applyFill="1" applyBorder="1" applyAlignment="1">
      <alignment horizontal="center" vertical="center" shrinkToFit="1"/>
    </xf>
    <xf numFmtId="0" fontId="16" fillId="0" borderId="0" xfId="0" applyFont="1" applyAlignment="1">
      <alignment horizontal="left"/>
    </xf>
    <xf numFmtId="0" fontId="17" fillId="0" borderId="0" xfId="0" applyFont="1"/>
    <xf numFmtId="0" fontId="18" fillId="0" borderId="0" xfId="1" applyFont="1" applyAlignment="1" applyProtection="1"/>
    <xf numFmtId="0" fontId="19" fillId="0" borderId="0" xfId="0" applyFont="1" applyAlignment="1">
      <alignment horizontal="right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 vertical="center"/>
    </xf>
    <xf numFmtId="9" fontId="5" fillId="0" borderId="2" xfId="2" applyFont="1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9" borderId="2" xfId="0" applyFont="1" applyFill="1" applyBorder="1" applyAlignment="1">
      <alignment horizontal="left" vertical="center" indent="1"/>
    </xf>
    <xf numFmtId="0" fontId="6" fillId="9" borderId="2" xfId="0" applyFont="1" applyFill="1" applyBorder="1" applyAlignment="1">
      <alignment horizontal="center" vertical="center"/>
    </xf>
    <xf numFmtId="9" fontId="5" fillId="9" borderId="2" xfId="2" applyFont="1" applyFill="1" applyBorder="1" applyAlignment="1">
      <alignment horizontal="center" vertical="center"/>
    </xf>
    <xf numFmtId="164" fontId="0" fillId="9" borderId="2" xfId="0" applyNumberFormat="1" applyFill="1" applyBorder="1" applyAlignment="1">
      <alignment horizontal="center" vertical="center"/>
    </xf>
    <xf numFmtId="164" fontId="5" fillId="9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 vertical="center" indent="2"/>
    </xf>
    <xf numFmtId="0" fontId="0" fillId="3" borderId="2" xfId="0" applyFill="1" applyBorder="1" applyAlignment="1">
      <alignment horizontal="center" vertical="center"/>
    </xf>
    <xf numFmtId="9" fontId="5" fillId="3" borderId="2" xfId="2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left" vertical="center" indent="1"/>
    </xf>
    <xf numFmtId="0" fontId="6" fillId="10" borderId="2" xfId="0" applyFont="1" applyFill="1" applyBorder="1" applyAlignment="1">
      <alignment horizontal="center" vertical="center"/>
    </xf>
    <xf numFmtId="9" fontId="5" fillId="10" borderId="2" xfId="2" applyFont="1" applyFill="1" applyBorder="1" applyAlignment="1">
      <alignment horizontal="center" vertical="center"/>
    </xf>
    <xf numFmtId="0" fontId="0" fillId="4" borderId="2" xfId="0" applyFill="1" applyBorder="1" applyAlignment="1">
      <alignment horizontal="left" vertical="center" indent="2"/>
    </xf>
    <xf numFmtId="0" fontId="0" fillId="4" borderId="2" xfId="0" applyFill="1" applyBorder="1" applyAlignment="1">
      <alignment horizontal="center" vertical="center"/>
    </xf>
    <xf numFmtId="9" fontId="5" fillId="4" borderId="2" xfId="2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left" vertical="center" indent="1"/>
    </xf>
    <xf numFmtId="0" fontId="6" fillId="6" borderId="2" xfId="0" applyFont="1" applyFill="1" applyBorder="1" applyAlignment="1">
      <alignment horizontal="center" vertical="center"/>
    </xf>
    <xf numFmtId="9" fontId="5" fillId="6" borderId="2" xfId="2" applyFont="1" applyFill="1" applyBorder="1" applyAlignment="1">
      <alignment horizontal="center" vertical="center"/>
    </xf>
    <xf numFmtId="0" fontId="0" fillId="13" borderId="2" xfId="0" applyFill="1" applyBorder="1" applyAlignment="1">
      <alignment horizontal="left" vertical="center" indent="2"/>
    </xf>
    <xf numFmtId="0" fontId="0" fillId="13" borderId="2" xfId="0" applyFill="1" applyBorder="1" applyAlignment="1">
      <alignment horizontal="center" vertical="center"/>
    </xf>
    <xf numFmtId="9" fontId="5" fillId="13" borderId="2" xfId="2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 indent="1"/>
    </xf>
    <xf numFmtId="0" fontId="6" fillId="5" borderId="2" xfId="0" applyFont="1" applyFill="1" applyBorder="1" applyAlignment="1">
      <alignment horizontal="center" vertical="center"/>
    </xf>
    <xf numFmtId="9" fontId="5" fillId="5" borderId="2" xfId="2" applyFont="1" applyFill="1" applyBorder="1" applyAlignment="1">
      <alignment horizontal="center" vertical="center"/>
    </xf>
    <xf numFmtId="0" fontId="0" fillId="11" borderId="2" xfId="0" applyFill="1" applyBorder="1" applyAlignment="1">
      <alignment horizontal="left" vertical="center" indent="2"/>
    </xf>
    <xf numFmtId="0" fontId="0" fillId="11" borderId="2" xfId="0" applyFill="1" applyBorder="1" applyAlignment="1">
      <alignment horizontal="center" vertical="center"/>
    </xf>
    <xf numFmtId="9" fontId="5" fillId="11" borderId="2" xfId="2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left" vertical="center" indent="1"/>
    </xf>
    <xf numFmtId="0" fontId="6" fillId="7" borderId="2" xfId="0" applyFont="1" applyFill="1" applyBorder="1" applyAlignment="1">
      <alignment horizontal="center" vertical="center"/>
    </xf>
    <xf numFmtId="9" fontId="5" fillId="7" borderId="2" xfId="2" applyFont="1" applyFill="1" applyBorder="1" applyAlignment="1">
      <alignment horizontal="center" vertical="center"/>
    </xf>
    <xf numFmtId="0" fontId="0" fillId="12" borderId="2" xfId="0" applyFill="1" applyBorder="1" applyAlignment="1">
      <alignment horizontal="left" vertical="center" indent="2"/>
    </xf>
    <xf numFmtId="0" fontId="0" fillId="12" borderId="2" xfId="0" applyFill="1" applyBorder="1" applyAlignment="1">
      <alignment horizontal="center" vertical="center"/>
    </xf>
    <xf numFmtId="9" fontId="5" fillId="12" borderId="2" xfId="2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center" vertical="center"/>
    </xf>
    <xf numFmtId="9" fontId="5" fillId="2" borderId="2" xfId="2" applyFont="1" applyFill="1" applyBorder="1" applyAlignment="1">
      <alignment horizontal="center" vertical="center"/>
    </xf>
    <xf numFmtId="164" fontId="4" fillId="2" borderId="2" xfId="0" applyNumberFormat="1" applyFont="1" applyFill="1" applyBorder="1" applyAlignment="1">
      <alignment horizontal="left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0" borderId="11" xfId="0" applyBorder="1" applyAlignment="1">
      <alignment horizontal="right" vertical="center"/>
    </xf>
    <xf numFmtId="0" fontId="0" fillId="2" borderId="11" xfId="0" applyFill="1" applyBorder="1" applyAlignment="1">
      <alignment vertical="center"/>
    </xf>
    <xf numFmtId="14" fontId="20" fillId="0" borderId="0" xfId="0" applyNumberFormat="1" applyFont="1" applyAlignment="1">
      <alignment horizontal="center"/>
    </xf>
    <xf numFmtId="0" fontId="2" fillId="0" borderId="0" xfId="0" applyFont="1" applyAlignment="1">
      <alignment horizontal="right" vertical="center"/>
    </xf>
    <xf numFmtId="0" fontId="21" fillId="0" borderId="0" xfId="0" applyFont="1"/>
    <xf numFmtId="0" fontId="21" fillId="0" borderId="0" xfId="1" applyFont="1" applyAlignment="1" applyProtection="1"/>
    <xf numFmtId="14" fontId="0" fillId="3" borderId="2" xfId="0" applyNumberFormat="1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14" fontId="5" fillId="10" borderId="2" xfId="0" applyNumberFormat="1" applyFont="1" applyFill="1" applyBorder="1" applyAlignment="1">
      <alignment horizontal="center" vertical="center"/>
    </xf>
    <xf numFmtId="14" fontId="0" fillId="4" borderId="2" xfId="0" applyNumberFormat="1" applyFill="1" applyBorder="1" applyAlignment="1">
      <alignment horizontal="center" vertical="center"/>
    </xf>
    <xf numFmtId="14" fontId="0" fillId="6" borderId="2" xfId="0" applyNumberFormat="1" applyFill="1" applyBorder="1" applyAlignment="1">
      <alignment horizontal="center" vertical="center"/>
    </xf>
    <xf numFmtId="14" fontId="5" fillId="6" borderId="2" xfId="0" applyNumberFormat="1" applyFont="1" applyFill="1" applyBorder="1" applyAlignment="1">
      <alignment horizontal="center" vertical="center"/>
    </xf>
    <xf numFmtId="14" fontId="0" fillId="13" borderId="2" xfId="0" applyNumberFormat="1" applyFill="1" applyBorder="1" applyAlignment="1">
      <alignment horizontal="center" vertical="center"/>
    </xf>
    <xf numFmtId="14" fontId="5" fillId="13" borderId="2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14" fontId="0" fillId="11" borderId="2" xfId="0" applyNumberFormat="1" applyFill="1" applyBorder="1" applyAlignment="1">
      <alignment horizontal="center" vertical="center"/>
    </xf>
    <xf numFmtId="14" fontId="5" fillId="11" borderId="2" xfId="0" applyNumberFormat="1" applyFont="1" applyFill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14" fontId="5" fillId="7" borderId="2" xfId="0" applyNumberFormat="1" applyFont="1" applyFill="1" applyBorder="1" applyAlignment="1">
      <alignment horizontal="center" vertical="center"/>
    </xf>
    <xf numFmtId="14" fontId="0" fillId="12" borderId="2" xfId="0" applyNumberFormat="1" applyFill="1" applyBorder="1" applyAlignment="1">
      <alignment horizontal="center" vertical="center"/>
    </xf>
    <xf numFmtId="14" fontId="5" fillId="12" borderId="2" xfId="0" applyNumberFormat="1" applyFont="1" applyFill="1" applyBorder="1" applyAlignment="1">
      <alignment horizontal="center" vertical="center"/>
    </xf>
    <xf numFmtId="0" fontId="22" fillId="0" borderId="0" xfId="1" applyFont="1" applyAlignment="1" applyProtection="1">
      <alignment horizontal="left" vertical="center"/>
    </xf>
    <xf numFmtId="165" fontId="0" fillId="8" borderId="6" xfId="0" applyNumberFormat="1" applyFill="1" applyBorder="1" applyAlignment="1">
      <alignment horizontal="left" vertical="center" wrapText="1" indent="1"/>
    </xf>
    <xf numFmtId="165" fontId="0" fillId="8" borderId="1" xfId="0" applyNumberFormat="1" applyFill="1" applyBorder="1" applyAlignment="1">
      <alignment horizontal="left" vertical="center" wrapText="1" indent="1"/>
    </xf>
    <xf numFmtId="165" fontId="0" fillId="8" borderId="7" xfId="0" applyNumberFormat="1" applyFill="1" applyBorder="1" applyAlignment="1">
      <alignment horizontal="left" vertical="center" wrapText="1" indent="1"/>
    </xf>
    <xf numFmtId="14" fontId="0" fillId="0" borderId="4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</cellXfs>
  <cellStyles count="3">
    <cellStyle name="Hipervínculo" xfId="1" builtinId="8" customBuiltin="1"/>
    <cellStyle name="Normal" xfId="0" builtinId="0"/>
    <cellStyle name="Porcentaje" xfId="2" builtinId="5"/>
  </cellStyles>
  <dxfs count="18">
    <dxf>
      <border>
        <left style="thin">
          <color rgb="FFC00000"/>
        </left>
        <right style="thin">
          <color rgb="FFC00000"/>
        </right>
        <vertical/>
        <horizontal/>
      </border>
    </dxf>
    <dxf>
      <fill>
        <patternFill>
          <bgColor theme="7"/>
        </patternFill>
      </fill>
      <border>
        <left/>
        <right/>
      </border>
    </dxf>
    <dxf>
      <fill>
        <patternFill>
          <bgColor theme="0" tint="-0.34998626667073579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fill>
        <patternFill>
          <bgColor theme="7"/>
        </patternFill>
      </fill>
      <border>
        <left/>
        <right/>
      </border>
    </dxf>
    <dxf>
      <fill>
        <patternFill>
          <bgColor theme="0" tint="-0.34998626667073579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fill>
        <patternFill>
          <bgColor theme="7"/>
        </patternFill>
      </fill>
      <border>
        <left/>
        <right/>
      </border>
    </dxf>
    <dxf>
      <fill>
        <patternFill>
          <bgColor theme="0" tint="-0.34998626667073579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secondRowStripe" dxfId="11"/>
      <tableStyleElement type="firstColumnStripe" dxfId="10"/>
      <tableStyleElement type="secondColumnStripe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Z50"/>
  <sheetViews>
    <sheetView showGridLines="0" tabSelected="1" showRuler="0" zoomScaleNormal="100" zoomScalePageLayoutView="70" workbookViewId="0">
      <pane ySplit="6" topLeftCell="A23" activePane="bottomLeft" state="frozen"/>
      <selection pane="bottomLeft" activeCell="F38" sqref="F38"/>
    </sheetView>
  </sheetViews>
  <sheetFormatPr defaultRowHeight="15"/>
  <cols>
    <col min="1" max="1" width="2.7109375" customWidth="1"/>
    <col min="2" max="2" width="52.140625" customWidth="1"/>
    <col min="3" max="3" width="12.28515625" customWidth="1"/>
    <col min="4" max="4" width="10.7109375" customWidth="1"/>
    <col min="5" max="5" width="14.28515625" style="5" customWidth="1"/>
    <col min="6" max="6" width="14.42578125" customWidth="1"/>
    <col min="7" max="7" width="2.7109375" customWidth="1"/>
    <col min="8" max="8" width="6.140625" hidden="1" customWidth="1"/>
    <col min="9" max="78" width="2.5703125" customWidth="1"/>
  </cols>
  <sheetData>
    <row r="1" spans="1:78" ht="28.5">
      <c r="B1" s="16" t="s">
        <v>0</v>
      </c>
      <c r="C1" s="1"/>
      <c r="D1" s="2"/>
      <c r="E1" s="4"/>
      <c r="F1" s="68"/>
      <c r="H1" s="2"/>
      <c r="I1" s="8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</row>
    <row r="2" spans="1:78" ht="19.5" customHeight="1">
      <c r="B2" s="9" t="s">
        <v>1</v>
      </c>
      <c r="D2" s="6" t="s">
        <v>2</v>
      </c>
      <c r="E2" s="91">
        <v>46132</v>
      </c>
      <c r="F2" s="92"/>
    </row>
    <row r="3" spans="1:78" ht="19.5" customHeight="1">
      <c r="B3" s="9"/>
      <c r="D3" s="6" t="s">
        <v>3</v>
      </c>
      <c r="E3" s="91">
        <v>46133</v>
      </c>
      <c r="F3" s="92"/>
    </row>
    <row r="4" spans="1:78" ht="19.5" customHeight="1">
      <c r="D4" s="6" t="s">
        <v>4</v>
      </c>
      <c r="E4" s="7">
        <v>1</v>
      </c>
      <c r="I4" s="88">
        <f>I5</f>
        <v>46132</v>
      </c>
      <c r="J4" s="89"/>
      <c r="K4" s="89"/>
      <c r="L4" s="89"/>
      <c r="M4" s="89"/>
      <c r="N4" s="89"/>
      <c r="O4" s="90"/>
      <c r="P4" s="88">
        <f>P5</f>
        <v>46139</v>
      </c>
      <c r="Q4" s="89"/>
      <c r="R4" s="89"/>
      <c r="S4" s="89"/>
      <c r="T4" s="89"/>
      <c r="U4" s="89"/>
      <c r="V4" s="90"/>
      <c r="W4" s="88">
        <f>W5</f>
        <v>46146</v>
      </c>
      <c r="X4" s="89"/>
      <c r="Y4" s="89"/>
      <c r="Z4" s="89"/>
      <c r="AA4" s="89"/>
      <c r="AB4" s="89"/>
      <c r="AC4" s="90"/>
      <c r="AD4" s="88">
        <f>AD5</f>
        <v>46153</v>
      </c>
      <c r="AE4" s="89"/>
      <c r="AF4" s="89"/>
      <c r="AG4" s="89"/>
      <c r="AH4" s="89"/>
      <c r="AI4" s="89"/>
      <c r="AJ4" s="90"/>
      <c r="AK4" s="88">
        <f>AK5</f>
        <v>46160</v>
      </c>
      <c r="AL4" s="89"/>
      <c r="AM4" s="89"/>
      <c r="AN4" s="89"/>
      <c r="AO4" s="89"/>
      <c r="AP4" s="89"/>
      <c r="AQ4" s="90"/>
      <c r="AR4" s="88">
        <f>AR5</f>
        <v>46167</v>
      </c>
      <c r="AS4" s="89"/>
      <c r="AT4" s="89"/>
      <c r="AU4" s="89"/>
      <c r="AV4" s="89"/>
      <c r="AW4" s="89"/>
      <c r="AX4" s="90"/>
      <c r="AY4" s="88">
        <f>AY5</f>
        <v>46174</v>
      </c>
      <c r="AZ4" s="89"/>
      <c r="BA4" s="89"/>
      <c r="BB4" s="89"/>
      <c r="BC4" s="89"/>
      <c r="BD4" s="89"/>
      <c r="BE4" s="90"/>
      <c r="BF4" s="88">
        <f>BF5</f>
        <v>46181</v>
      </c>
      <c r="BG4" s="89"/>
      <c r="BH4" s="89"/>
      <c r="BI4" s="89"/>
      <c r="BJ4" s="89"/>
      <c r="BK4" s="89"/>
      <c r="BL4" s="90"/>
      <c r="BM4" s="88">
        <f>BM5</f>
        <v>46188</v>
      </c>
      <c r="BN4" s="89"/>
      <c r="BO4" s="89"/>
      <c r="BP4" s="89"/>
      <c r="BQ4" s="89"/>
      <c r="BR4" s="89"/>
      <c r="BS4" s="90"/>
      <c r="BT4" s="88">
        <f>BT5</f>
        <v>46195</v>
      </c>
      <c r="BU4" s="89"/>
      <c r="BV4" s="89"/>
      <c r="BW4" s="89"/>
      <c r="BX4" s="89"/>
      <c r="BY4" s="89"/>
      <c r="BZ4" s="90"/>
    </row>
    <row r="5" spans="1:78">
      <c r="A5" s="6"/>
      <c r="G5" s="6"/>
      <c r="I5" s="13">
        <f>E2-WEEKDAY(E2,1)+2+7*(E4-1)</f>
        <v>46132</v>
      </c>
      <c r="J5" s="12">
        <f>I5+1</f>
        <v>46133</v>
      </c>
      <c r="K5" s="12">
        <f t="shared" ref="K5:AX5" si="0">J5+1</f>
        <v>46134</v>
      </c>
      <c r="L5" s="12">
        <f t="shared" si="0"/>
        <v>46135</v>
      </c>
      <c r="M5" s="12">
        <f t="shared" si="0"/>
        <v>46136</v>
      </c>
      <c r="N5" s="12">
        <f t="shared" si="0"/>
        <v>46137</v>
      </c>
      <c r="O5" s="14">
        <f t="shared" si="0"/>
        <v>46138</v>
      </c>
      <c r="P5" s="13">
        <f>O5+1</f>
        <v>46139</v>
      </c>
      <c r="Q5" s="12">
        <f>P5+1</f>
        <v>46140</v>
      </c>
      <c r="R5" s="12">
        <f t="shared" si="0"/>
        <v>46141</v>
      </c>
      <c r="S5" s="12">
        <f t="shared" si="0"/>
        <v>46142</v>
      </c>
      <c r="T5" s="12">
        <f t="shared" si="0"/>
        <v>46143</v>
      </c>
      <c r="U5" s="12">
        <f t="shared" si="0"/>
        <v>46144</v>
      </c>
      <c r="V5" s="14">
        <f t="shared" si="0"/>
        <v>46145</v>
      </c>
      <c r="W5" s="13">
        <f>V5+1</f>
        <v>46146</v>
      </c>
      <c r="X5" s="12">
        <f>W5+1</f>
        <v>46147</v>
      </c>
      <c r="Y5" s="12">
        <f t="shared" si="0"/>
        <v>46148</v>
      </c>
      <c r="Z5" s="12">
        <f t="shared" si="0"/>
        <v>46149</v>
      </c>
      <c r="AA5" s="12">
        <f t="shared" si="0"/>
        <v>46150</v>
      </c>
      <c r="AB5" s="12">
        <f t="shared" si="0"/>
        <v>46151</v>
      </c>
      <c r="AC5" s="14">
        <f t="shared" si="0"/>
        <v>46152</v>
      </c>
      <c r="AD5" s="13">
        <f>AC5+1</f>
        <v>46153</v>
      </c>
      <c r="AE5" s="12">
        <f>AD5+1</f>
        <v>46154</v>
      </c>
      <c r="AF5" s="12">
        <f t="shared" si="0"/>
        <v>46155</v>
      </c>
      <c r="AG5" s="12">
        <f t="shared" si="0"/>
        <v>46156</v>
      </c>
      <c r="AH5" s="12">
        <f t="shared" si="0"/>
        <v>46157</v>
      </c>
      <c r="AI5" s="12">
        <f t="shared" si="0"/>
        <v>46158</v>
      </c>
      <c r="AJ5" s="14">
        <f t="shared" si="0"/>
        <v>46159</v>
      </c>
      <c r="AK5" s="13">
        <f>AJ5+1</f>
        <v>46160</v>
      </c>
      <c r="AL5" s="12">
        <f>AK5+1</f>
        <v>46161</v>
      </c>
      <c r="AM5" s="12">
        <f t="shared" si="0"/>
        <v>46162</v>
      </c>
      <c r="AN5" s="12">
        <f t="shared" si="0"/>
        <v>46163</v>
      </c>
      <c r="AO5" s="12">
        <f t="shared" si="0"/>
        <v>46164</v>
      </c>
      <c r="AP5" s="12">
        <f t="shared" si="0"/>
        <v>46165</v>
      </c>
      <c r="AQ5" s="14">
        <f t="shared" si="0"/>
        <v>46166</v>
      </c>
      <c r="AR5" s="13">
        <f>AQ5+1</f>
        <v>46167</v>
      </c>
      <c r="AS5" s="12">
        <f>AR5+1</f>
        <v>46168</v>
      </c>
      <c r="AT5" s="12">
        <f t="shared" si="0"/>
        <v>46169</v>
      </c>
      <c r="AU5" s="12">
        <f t="shared" si="0"/>
        <v>46170</v>
      </c>
      <c r="AV5" s="12">
        <f t="shared" si="0"/>
        <v>46171</v>
      </c>
      <c r="AW5" s="12">
        <f t="shared" si="0"/>
        <v>46172</v>
      </c>
      <c r="AX5" s="14">
        <f t="shared" si="0"/>
        <v>46173</v>
      </c>
      <c r="AY5" s="13">
        <f>AX5+1</f>
        <v>46174</v>
      </c>
      <c r="AZ5" s="12">
        <f>AY5+1</f>
        <v>46175</v>
      </c>
      <c r="BA5" s="12">
        <f t="shared" ref="BA5:BE5" si="1">AZ5+1</f>
        <v>46176</v>
      </c>
      <c r="BB5" s="12">
        <f t="shared" si="1"/>
        <v>46177</v>
      </c>
      <c r="BC5" s="12">
        <f t="shared" si="1"/>
        <v>46178</v>
      </c>
      <c r="BD5" s="12">
        <f t="shared" si="1"/>
        <v>46179</v>
      </c>
      <c r="BE5" s="14">
        <f t="shared" si="1"/>
        <v>46180</v>
      </c>
      <c r="BF5" s="13">
        <f>BE5+1</f>
        <v>46181</v>
      </c>
      <c r="BG5" s="12">
        <f>BF5+1</f>
        <v>46182</v>
      </c>
      <c r="BH5" s="12">
        <f t="shared" ref="BH5:BL5" si="2">BG5+1</f>
        <v>46183</v>
      </c>
      <c r="BI5" s="12">
        <f t="shared" si="2"/>
        <v>46184</v>
      </c>
      <c r="BJ5" s="12">
        <f t="shared" si="2"/>
        <v>46185</v>
      </c>
      <c r="BK5" s="12">
        <f t="shared" si="2"/>
        <v>46186</v>
      </c>
      <c r="BL5" s="14">
        <f t="shared" si="2"/>
        <v>46187</v>
      </c>
      <c r="BM5" s="13">
        <f>BL5+1</f>
        <v>46188</v>
      </c>
      <c r="BN5" s="12">
        <f>BM5+1</f>
        <v>46189</v>
      </c>
      <c r="BO5" s="12">
        <f t="shared" ref="BO5" si="3">BN5+1</f>
        <v>46190</v>
      </c>
      <c r="BP5" s="12">
        <f t="shared" ref="BP5" si="4">BO5+1</f>
        <v>46191</v>
      </c>
      <c r="BQ5" s="12">
        <f t="shared" ref="BQ5" si="5">BP5+1</f>
        <v>46192</v>
      </c>
      <c r="BR5" s="12">
        <f t="shared" ref="BR5" si="6">BQ5+1</f>
        <v>46193</v>
      </c>
      <c r="BS5" s="14">
        <f t="shared" ref="BS5" si="7">BR5+1</f>
        <v>46194</v>
      </c>
      <c r="BT5" s="13">
        <f>BS5+1</f>
        <v>46195</v>
      </c>
      <c r="BU5" s="12">
        <f>BT5+1</f>
        <v>46196</v>
      </c>
      <c r="BV5" s="12">
        <f t="shared" ref="BV5" si="8">BU5+1</f>
        <v>46197</v>
      </c>
      <c r="BW5" s="12">
        <f t="shared" ref="BW5" si="9">BV5+1</f>
        <v>46198</v>
      </c>
      <c r="BX5" s="12">
        <f t="shared" ref="BX5" si="10">BW5+1</f>
        <v>46199</v>
      </c>
      <c r="BY5" s="12">
        <f t="shared" ref="BY5" si="11">BX5+1</f>
        <v>46200</v>
      </c>
      <c r="BZ5" s="14">
        <f t="shared" ref="BZ5" si="12">BY5+1</f>
        <v>46201</v>
      </c>
    </row>
    <row r="6" spans="1:78" ht="29.25" customHeight="1">
      <c r="A6" s="19"/>
      <c r="B6" s="10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/>
      <c r="H6" s="11" t="s">
        <v>10</v>
      </c>
      <c r="I6" s="15" t="str">
        <f t="shared" ref="I6" si="13">LEFT(TEXT(I5,"ddd"),1)</f>
        <v>l</v>
      </c>
      <c r="J6" s="15" t="str">
        <f t="shared" ref="J6:AR6" si="14">LEFT(TEXT(J5,"ddd"),1)</f>
        <v>m</v>
      </c>
      <c r="K6" s="15" t="str">
        <f t="shared" si="14"/>
        <v>m</v>
      </c>
      <c r="L6" s="15" t="str">
        <f t="shared" si="14"/>
        <v>j</v>
      </c>
      <c r="M6" s="15" t="str">
        <f t="shared" si="14"/>
        <v>v</v>
      </c>
      <c r="N6" s="15" t="str">
        <f t="shared" si="14"/>
        <v>s</v>
      </c>
      <c r="O6" s="15" t="str">
        <f t="shared" si="14"/>
        <v>d</v>
      </c>
      <c r="P6" s="15" t="str">
        <f t="shared" si="14"/>
        <v>l</v>
      </c>
      <c r="Q6" s="15" t="str">
        <f t="shared" si="14"/>
        <v>m</v>
      </c>
      <c r="R6" s="15" t="str">
        <f t="shared" si="14"/>
        <v>m</v>
      </c>
      <c r="S6" s="15" t="str">
        <f t="shared" si="14"/>
        <v>j</v>
      </c>
      <c r="T6" s="15" t="str">
        <f t="shared" si="14"/>
        <v>v</v>
      </c>
      <c r="U6" s="15" t="str">
        <f t="shared" si="14"/>
        <v>s</v>
      </c>
      <c r="V6" s="15" t="str">
        <f t="shared" si="14"/>
        <v>d</v>
      </c>
      <c r="W6" s="15" t="str">
        <f t="shared" si="14"/>
        <v>l</v>
      </c>
      <c r="X6" s="15" t="str">
        <f t="shared" si="14"/>
        <v>m</v>
      </c>
      <c r="Y6" s="15" t="str">
        <f t="shared" si="14"/>
        <v>m</v>
      </c>
      <c r="Z6" s="15" t="str">
        <f t="shared" si="14"/>
        <v>j</v>
      </c>
      <c r="AA6" s="15" t="str">
        <f t="shared" si="14"/>
        <v>v</v>
      </c>
      <c r="AB6" s="15" t="str">
        <f t="shared" si="14"/>
        <v>s</v>
      </c>
      <c r="AC6" s="15" t="str">
        <f t="shared" si="14"/>
        <v>d</v>
      </c>
      <c r="AD6" s="15" t="str">
        <f t="shared" si="14"/>
        <v>l</v>
      </c>
      <c r="AE6" s="15" t="str">
        <f t="shared" si="14"/>
        <v>m</v>
      </c>
      <c r="AF6" s="15" t="str">
        <f t="shared" si="14"/>
        <v>m</v>
      </c>
      <c r="AG6" s="15" t="str">
        <f t="shared" si="14"/>
        <v>j</v>
      </c>
      <c r="AH6" s="15" t="str">
        <f t="shared" si="14"/>
        <v>v</v>
      </c>
      <c r="AI6" s="15" t="str">
        <f t="shared" si="14"/>
        <v>s</v>
      </c>
      <c r="AJ6" s="15" t="str">
        <f t="shared" si="14"/>
        <v>d</v>
      </c>
      <c r="AK6" s="15" t="str">
        <f t="shared" si="14"/>
        <v>l</v>
      </c>
      <c r="AL6" s="15" t="str">
        <f t="shared" si="14"/>
        <v>m</v>
      </c>
      <c r="AM6" s="15" t="str">
        <f t="shared" si="14"/>
        <v>m</v>
      </c>
      <c r="AN6" s="15" t="str">
        <f t="shared" si="14"/>
        <v>j</v>
      </c>
      <c r="AO6" s="15" t="str">
        <f t="shared" si="14"/>
        <v>v</v>
      </c>
      <c r="AP6" s="15" t="str">
        <f t="shared" si="14"/>
        <v>s</v>
      </c>
      <c r="AQ6" s="15" t="str">
        <f t="shared" si="14"/>
        <v>d</v>
      </c>
      <c r="AR6" s="15" t="str">
        <f t="shared" si="14"/>
        <v>l</v>
      </c>
      <c r="AS6" s="15" t="str">
        <f t="shared" ref="AS6:BL6" si="15">LEFT(TEXT(AS5,"ddd"),1)</f>
        <v>m</v>
      </c>
      <c r="AT6" s="15" t="str">
        <f t="shared" si="15"/>
        <v>m</v>
      </c>
      <c r="AU6" s="15" t="str">
        <f t="shared" si="15"/>
        <v>j</v>
      </c>
      <c r="AV6" s="15" t="str">
        <f t="shared" si="15"/>
        <v>v</v>
      </c>
      <c r="AW6" s="15" t="str">
        <f t="shared" si="15"/>
        <v>s</v>
      </c>
      <c r="AX6" s="15" t="str">
        <f t="shared" si="15"/>
        <v>d</v>
      </c>
      <c r="AY6" s="15" t="str">
        <f t="shared" si="15"/>
        <v>l</v>
      </c>
      <c r="AZ6" s="15" t="str">
        <f t="shared" si="15"/>
        <v>m</v>
      </c>
      <c r="BA6" s="15" t="str">
        <f t="shared" si="15"/>
        <v>m</v>
      </c>
      <c r="BB6" s="15" t="str">
        <f t="shared" si="15"/>
        <v>j</v>
      </c>
      <c r="BC6" s="15" t="str">
        <f t="shared" si="15"/>
        <v>v</v>
      </c>
      <c r="BD6" s="15" t="str">
        <f t="shared" si="15"/>
        <v>s</v>
      </c>
      <c r="BE6" s="15" t="str">
        <f t="shared" si="15"/>
        <v>d</v>
      </c>
      <c r="BF6" s="15" t="str">
        <f t="shared" si="15"/>
        <v>l</v>
      </c>
      <c r="BG6" s="15" t="str">
        <f t="shared" si="15"/>
        <v>m</v>
      </c>
      <c r="BH6" s="15" t="str">
        <f t="shared" si="15"/>
        <v>m</v>
      </c>
      <c r="BI6" s="15" t="str">
        <f t="shared" si="15"/>
        <v>j</v>
      </c>
      <c r="BJ6" s="15" t="str">
        <f t="shared" si="15"/>
        <v>v</v>
      </c>
      <c r="BK6" s="15" t="str">
        <f t="shared" si="15"/>
        <v>s</v>
      </c>
      <c r="BL6" s="15" t="str">
        <f t="shared" si="15"/>
        <v>d</v>
      </c>
      <c r="BM6" s="15" t="str">
        <f t="shared" ref="BM6:BZ6" si="16">LEFT(TEXT(BM5,"ddd"),1)</f>
        <v>l</v>
      </c>
      <c r="BN6" s="15" t="str">
        <f t="shared" si="16"/>
        <v>m</v>
      </c>
      <c r="BO6" s="15" t="str">
        <f t="shared" si="16"/>
        <v>m</v>
      </c>
      <c r="BP6" s="15" t="str">
        <f t="shared" si="16"/>
        <v>j</v>
      </c>
      <c r="BQ6" s="15" t="str">
        <f t="shared" si="16"/>
        <v>v</v>
      </c>
      <c r="BR6" s="15" t="str">
        <f t="shared" si="16"/>
        <v>s</v>
      </c>
      <c r="BS6" s="15" t="str">
        <f t="shared" si="16"/>
        <v>d</v>
      </c>
      <c r="BT6" s="15" t="str">
        <f t="shared" si="16"/>
        <v>l</v>
      </c>
      <c r="BU6" s="15" t="str">
        <f t="shared" si="16"/>
        <v>m</v>
      </c>
      <c r="BV6" s="15" t="str">
        <f t="shared" si="16"/>
        <v>m</v>
      </c>
      <c r="BW6" s="15" t="str">
        <f t="shared" si="16"/>
        <v>j</v>
      </c>
      <c r="BX6" s="15" t="str">
        <f t="shared" si="16"/>
        <v>v</v>
      </c>
      <c r="BY6" s="15" t="str">
        <f t="shared" si="16"/>
        <v>s</v>
      </c>
      <c r="BZ6" s="15" t="str">
        <f t="shared" si="16"/>
        <v>d</v>
      </c>
    </row>
    <row r="7" spans="1:78" s="3" customFormat="1" ht="21">
      <c r="A7" s="19"/>
      <c r="B7" s="20"/>
      <c r="C7" s="21"/>
      <c r="D7" s="22"/>
      <c r="E7" s="23"/>
      <c r="F7" s="24"/>
      <c r="G7" s="25"/>
      <c r="H7" s="25" t="str">
        <f t="shared" ref="H7:H46" ca="1" si="17">IF(OR(ISBLANK(task_start),ISBLANK(task_end)),"",task_end-task_start+1)</f>
        <v/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64"/>
      <c r="BS7" s="64"/>
      <c r="BT7" s="64"/>
      <c r="BU7" s="64"/>
      <c r="BV7" s="64"/>
      <c r="BW7" s="64"/>
      <c r="BX7" s="64"/>
      <c r="BY7" s="64"/>
      <c r="BZ7" s="64"/>
    </row>
    <row r="8" spans="1:78" s="3" customFormat="1" ht="21">
      <c r="A8" s="19"/>
      <c r="B8" s="26" t="s">
        <v>11</v>
      </c>
      <c r="C8" s="27"/>
      <c r="D8" s="28"/>
      <c r="E8" s="29"/>
      <c r="F8" s="30"/>
      <c r="G8" s="25"/>
      <c r="H8" s="25" t="str">
        <f t="shared" ca="1" si="17"/>
        <v/>
      </c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  <c r="BR8" s="64"/>
      <c r="BS8" s="64"/>
      <c r="BT8" s="64"/>
      <c r="BU8" s="64"/>
      <c r="BV8" s="64"/>
      <c r="BW8" s="64"/>
      <c r="BX8" s="64"/>
      <c r="BY8" s="64"/>
      <c r="BZ8" s="64"/>
    </row>
    <row r="9" spans="1:78" s="3" customFormat="1" ht="21">
      <c r="A9" s="19"/>
      <c r="B9" s="31" t="s">
        <v>12</v>
      </c>
      <c r="C9" s="32"/>
      <c r="D9" s="33">
        <v>0</v>
      </c>
      <c r="E9" s="71">
        <v>46133</v>
      </c>
      <c r="F9" s="71">
        <v>46134</v>
      </c>
      <c r="G9" s="25"/>
      <c r="H9" s="25">
        <f t="shared" ca="1" si="17"/>
        <v>2</v>
      </c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  <c r="BR9" s="64"/>
      <c r="BS9" s="64"/>
      <c r="BT9" s="64"/>
      <c r="BU9" s="64"/>
      <c r="BV9" s="64"/>
      <c r="BW9" s="64"/>
      <c r="BX9" s="64"/>
      <c r="BY9" s="64"/>
      <c r="BZ9" s="64"/>
    </row>
    <row r="10" spans="1:78" s="3" customFormat="1" ht="21">
      <c r="A10" s="19"/>
      <c r="B10" s="31" t="s">
        <v>13</v>
      </c>
      <c r="C10" s="32"/>
      <c r="D10" s="33">
        <v>0</v>
      </c>
      <c r="E10" s="71">
        <v>46134</v>
      </c>
      <c r="F10" s="71">
        <v>46136</v>
      </c>
      <c r="G10" s="25"/>
      <c r="H10" s="25">
        <f t="shared" ca="1" si="17"/>
        <v>3</v>
      </c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5"/>
      <c r="V10" s="65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  <c r="BR10" s="64"/>
      <c r="BS10" s="64"/>
      <c r="BT10" s="64"/>
      <c r="BU10" s="64"/>
      <c r="BV10" s="64"/>
      <c r="BW10" s="64"/>
      <c r="BX10" s="64"/>
      <c r="BY10" s="64"/>
      <c r="BZ10" s="64"/>
    </row>
    <row r="11" spans="1:78" s="3" customFormat="1" ht="21">
      <c r="A11" s="19"/>
      <c r="B11" s="31" t="s">
        <v>14</v>
      </c>
      <c r="C11" s="32"/>
      <c r="D11" s="33">
        <v>0</v>
      </c>
      <c r="E11" s="71">
        <v>46136</v>
      </c>
      <c r="F11" s="71">
        <v>46139</v>
      </c>
      <c r="G11" s="25"/>
      <c r="H11" s="25">
        <f t="shared" ca="1" si="17"/>
        <v>4</v>
      </c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  <c r="BR11" s="64"/>
      <c r="BS11" s="64"/>
      <c r="BT11" s="64"/>
      <c r="BU11" s="64"/>
      <c r="BV11" s="64"/>
      <c r="BW11" s="64"/>
      <c r="BX11" s="64"/>
      <c r="BY11" s="64"/>
      <c r="BZ11" s="64"/>
    </row>
    <row r="12" spans="1:78" s="3" customFormat="1" ht="21">
      <c r="A12" s="19"/>
      <c r="B12" s="31" t="s">
        <v>15</v>
      </c>
      <c r="C12" s="32"/>
      <c r="D12" s="33">
        <v>0</v>
      </c>
      <c r="E12" s="71">
        <v>46139</v>
      </c>
      <c r="F12" s="71">
        <v>46141</v>
      </c>
      <c r="G12" s="25"/>
      <c r="H12" s="25">
        <f t="shared" ca="1" si="17"/>
        <v>3</v>
      </c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5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  <c r="BR12" s="64"/>
      <c r="BS12" s="64"/>
      <c r="BT12" s="64"/>
      <c r="BU12" s="64"/>
      <c r="BV12" s="64"/>
      <c r="BW12" s="64"/>
      <c r="BX12" s="64"/>
      <c r="BY12" s="64"/>
      <c r="BZ12" s="64"/>
    </row>
    <row r="13" spans="1:78" s="3" customFormat="1" ht="21">
      <c r="A13" s="19"/>
      <c r="B13" s="31" t="s">
        <v>16</v>
      </c>
      <c r="C13" s="32"/>
      <c r="D13" s="33">
        <v>0</v>
      </c>
      <c r="E13" s="71">
        <v>46134</v>
      </c>
      <c r="F13" s="71">
        <v>46136</v>
      </c>
      <c r="G13" s="25"/>
      <c r="H13" s="25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5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  <c r="BR13" s="64"/>
      <c r="BS13" s="64"/>
      <c r="BT13" s="64"/>
      <c r="BU13" s="64"/>
      <c r="BV13" s="64"/>
      <c r="BW13" s="64"/>
      <c r="BX13" s="64"/>
      <c r="BY13" s="64"/>
      <c r="BZ13" s="64"/>
    </row>
    <row r="14" spans="1:78" s="3" customFormat="1" ht="21">
      <c r="A14" s="19"/>
      <c r="B14" s="31" t="s">
        <v>17</v>
      </c>
      <c r="C14" s="32"/>
      <c r="D14" s="33">
        <v>0</v>
      </c>
      <c r="E14" s="71">
        <v>46135</v>
      </c>
      <c r="F14" s="71">
        <v>46136</v>
      </c>
      <c r="G14" s="25"/>
      <c r="H14" s="25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5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</row>
    <row r="15" spans="1:78" s="3" customFormat="1" ht="21">
      <c r="A15" s="19"/>
      <c r="B15" s="31" t="s">
        <v>18</v>
      </c>
      <c r="C15" s="32"/>
      <c r="D15" s="33">
        <v>0</v>
      </c>
      <c r="E15" s="71">
        <v>46139</v>
      </c>
      <c r="F15" s="71">
        <v>46141</v>
      </c>
      <c r="G15" s="25"/>
      <c r="H15" s="25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5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  <c r="BR15" s="64"/>
      <c r="BS15" s="64"/>
      <c r="BT15" s="64"/>
      <c r="BU15" s="64"/>
      <c r="BV15" s="64"/>
      <c r="BW15" s="64"/>
      <c r="BX15" s="64"/>
      <c r="BY15" s="64"/>
      <c r="BZ15" s="64"/>
    </row>
    <row r="16" spans="1:78" s="3" customFormat="1" ht="21">
      <c r="A16" s="19"/>
      <c r="B16" s="31" t="s">
        <v>19</v>
      </c>
      <c r="C16" s="32"/>
      <c r="D16" s="33">
        <v>0</v>
      </c>
      <c r="E16" s="71">
        <v>46135</v>
      </c>
      <c r="F16" s="71">
        <v>46139</v>
      </c>
      <c r="G16" s="25"/>
      <c r="H16" s="25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5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  <c r="BR16" s="64"/>
      <c r="BS16" s="64"/>
      <c r="BT16" s="64"/>
      <c r="BU16" s="64"/>
      <c r="BV16" s="64"/>
      <c r="BW16" s="64"/>
      <c r="BX16" s="64"/>
      <c r="BY16" s="64"/>
      <c r="BZ16" s="64"/>
    </row>
    <row r="17" spans="1:78" s="3" customFormat="1" ht="21">
      <c r="A17" s="19"/>
      <c r="B17" s="31" t="s">
        <v>20</v>
      </c>
      <c r="C17" s="32"/>
      <c r="D17" s="33">
        <v>0</v>
      </c>
      <c r="E17" s="71">
        <v>46139</v>
      </c>
      <c r="F17" s="71">
        <v>46141</v>
      </c>
      <c r="G17" s="25"/>
      <c r="H17" s="25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5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  <c r="BR17" s="64"/>
      <c r="BS17" s="64"/>
      <c r="BT17" s="64"/>
      <c r="BU17" s="64"/>
      <c r="BV17" s="64"/>
      <c r="BW17" s="64"/>
      <c r="BX17" s="64"/>
      <c r="BY17" s="64"/>
      <c r="BZ17" s="64"/>
    </row>
    <row r="18" spans="1:78" s="3" customFormat="1" ht="21">
      <c r="A18" s="19"/>
      <c r="B18" s="31" t="s">
        <v>21</v>
      </c>
      <c r="C18" s="32"/>
      <c r="D18" s="33">
        <v>0</v>
      </c>
      <c r="E18" s="71">
        <v>46140</v>
      </c>
      <c r="F18" s="71">
        <v>46146</v>
      </c>
      <c r="G18" s="25"/>
      <c r="H18" s="25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5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  <c r="BR18" s="64"/>
      <c r="BS18" s="64"/>
      <c r="BT18" s="64"/>
      <c r="BU18" s="64"/>
      <c r="BV18" s="64"/>
      <c r="BW18" s="64"/>
      <c r="BX18" s="64"/>
      <c r="BY18" s="64"/>
      <c r="BZ18" s="64"/>
    </row>
    <row r="19" spans="1:78" s="3" customFormat="1" ht="21">
      <c r="A19" s="19"/>
      <c r="B19" s="34" t="s">
        <v>22</v>
      </c>
      <c r="C19" s="35"/>
      <c r="D19" s="36"/>
      <c r="E19" s="72"/>
      <c r="F19" s="73"/>
      <c r="G19" s="25"/>
      <c r="H19" s="25" t="str">
        <f t="shared" ca="1" si="17"/>
        <v/>
      </c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  <c r="BR19" s="64"/>
      <c r="BS19" s="64"/>
      <c r="BT19" s="64"/>
      <c r="BU19" s="64"/>
      <c r="BV19" s="64"/>
      <c r="BW19" s="64"/>
      <c r="BX19" s="64"/>
      <c r="BY19" s="64"/>
      <c r="BZ19" s="64"/>
    </row>
    <row r="20" spans="1:78" s="3" customFormat="1" ht="21">
      <c r="A20" s="19"/>
      <c r="B20" s="37" t="s">
        <v>23</v>
      </c>
      <c r="C20" s="38"/>
      <c r="D20" s="39">
        <v>0</v>
      </c>
      <c r="E20" s="74">
        <v>46133</v>
      </c>
      <c r="F20" s="74">
        <v>46133</v>
      </c>
      <c r="G20" s="25"/>
      <c r="H20" s="25">
        <f t="shared" ca="1" si="17"/>
        <v>1</v>
      </c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  <c r="BR20" s="64"/>
      <c r="BS20" s="64"/>
      <c r="BT20" s="64"/>
      <c r="BU20" s="64"/>
      <c r="BV20" s="64"/>
      <c r="BW20" s="64"/>
      <c r="BX20" s="64"/>
      <c r="BY20" s="64"/>
      <c r="BZ20" s="64"/>
    </row>
    <row r="21" spans="1:78" s="3" customFormat="1" ht="21">
      <c r="A21" s="19"/>
      <c r="B21" s="37" t="s">
        <v>24</v>
      </c>
      <c r="C21" s="38"/>
      <c r="D21" s="39">
        <v>0</v>
      </c>
      <c r="E21" s="74">
        <v>46133</v>
      </c>
      <c r="F21" s="74">
        <v>46133</v>
      </c>
      <c r="G21" s="25"/>
      <c r="H21" s="25">
        <f t="shared" ca="1" si="17"/>
        <v>1</v>
      </c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5"/>
      <c r="V21" s="65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  <c r="BF21" s="64"/>
      <c r="BG21" s="64"/>
      <c r="BH21" s="64"/>
      <c r="BI21" s="64"/>
      <c r="BJ21" s="64"/>
      <c r="BK21" s="64"/>
      <c r="BL21" s="64"/>
      <c r="BM21" s="64"/>
      <c r="BN21" s="64"/>
      <c r="BO21" s="64"/>
      <c r="BP21" s="64"/>
      <c r="BQ21" s="64"/>
      <c r="BR21" s="64"/>
      <c r="BS21" s="64"/>
      <c r="BT21" s="64"/>
      <c r="BU21" s="64"/>
      <c r="BV21" s="64"/>
      <c r="BW21" s="64"/>
      <c r="BX21" s="64"/>
      <c r="BY21" s="64"/>
      <c r="BZ21" s="64"/>
    </row>
    <row r="22" spans="1:78" s="3" customFormat="1" ht="21">
      <c r="A22" s="19"/>
      <c r="B22" s="37" t="s">
        <v>25</v>
      </c>
      <c r="C22" s="38"/>
      <c r="D22" s="39"/>
      <c r="E22" s="74">
        <v>46133</v>
      </c>
      <c r="F22" s="74">
        <v>46133</v>
      </c>
      <c r="G22" s="25"/>
      <c r="H22" s="25">
        <f t="shared" ca="1" si="17"/>
        <v>1</v>
      </c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  <c r="BN22" s="64"/>
      <c r="BO22" s="64"/>
      <c r="BP22" s="64"/>
      <c r="BQ22" s="64"/>
      <c r="BR22" s="64"/>
      <c r="BS22" s="64"/>
      <c r="BT22" s="64"/>
      <c r="BU22" s="64"/>
      <c r="BV22" s="64"/>
      <c r="BW22" s="64"/>
      <c r="BX22" s="64"/>
      <c r="BY22" s="64"/>
      <c r="BZ22" s="64"/>
    </row>
    <row r="23" spans="1:78" s="3" customFormat="1" ht="21">
      <c r="A23" s="19"/>
      <c r="B23" s="37" t="s">
        <v>26</v>
      </c>
      <c r="C23" s="38"/>
      <c r="D23" s="39"/>
      <c r="E23" s="74">
        <v>46133</v>
      </c>
      <c r="F23" s="74">
        <v>46133</v>
      </c>
      <c r="G23" s="25"/>
      <c r="H23" s="25">
        <f t="shared" ca="1" si="17"/>
        <v>1</v>
      </c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5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4"/>
      <c r="BG23" s="64"/>
      <c r="BH23" s="64"/>
      <c r="BI23" s="64"/>
      <c r="BJ23" s="64"/>
      <c r="BK23" s="64"/>
      <c r="BL23" s="64"/>
      <c r="BM23" s="64"/>
      <c r="BN23" s="64"/>
      <c r="BO23" s="64"/>
      <c r="BP23" s="64"/>
      <c r="BQ23" s="64"/>
      <c r="BR23" s="64"/>
      <c r="BS23" s="64"/>
      <c r="BT23" s="64"/>
      <c r="BU23" s="64"/>
      <c r="BV23" s="64"/>
      <c r="BW23" s="64"/>
      <c r="BX23" s="64"/>
      <c r="BY23" s="64"/>
      <c r="BZ23" s="64"/>
    </row>
    <row r="24" spans="1:78" s="3" customFormat="1" ht="21">
      <c r="A24" s="19"/>
      <c r="B24" s="37" t="s">
        <v>27</v>
      </c>
      <c r="C24" s="38"/>
      <c r="D24" s="39"/>
      <c r="E24" s="74">
        <v>46133</v>
      </c>
      <c r="F24" s="74">
        <v>46133</v>
      </c>
      <c r="G24" s="25"/>
      <c r="H24" s="25">
        <f t="shared" ca="1" si="17"/>
        <v>1</v>
      </c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  <c r="BI24" s="64"/>
      <c r="BJ24" s="64"/>
      <c r="BK24" s="64"/>
      <c r="BL24" s="64"/>
      <c r="BM24" s="64"/>
      <c r="BN24" s="64"/>
      <c r="BO24" s="64"/>
      <c r="BP24" s="64"/>
      <c r="BQ24" s="64"/>
      <c r="BR24" s="64"/>
      <c r="BS24" s="64"/>
      <c r="BT24" s="64"/>
      <c r="BU24" s="64"/>
      <c r="BV24" s="64"/>
      <c r="BW24" s="64"/>
      <c r="BX24" s="64"/>
      <c r="BY24" s="64"/>
      <c r="BZ24" s="64"/>
    </row>
    <row r="25" spans="1:78" s="3" customFormat="1" ht="21">
      <c r="A25" s="19"/>
      <c r="B25" s="40" t="s">
        <v>28</v>
      </c>
      <c r="C25" s="41"/>
      <c r="D25" s="42"/>
      <c r="E25" s="75"/>
      <c r="F25" s="76"/>
      <c r="G25" s="25"/>
      <c r="H25" s="25" t="str">
        <f t="shared" ca="1" si="17"/>
        <v/>
      </c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4"/>
      <c r="BN25" s="64"/>
      <c r="BO25" s="64"/>
      <c r="BP25" s="64"/>
      <c r="BQ25" s="64"/>
      <c r="BR25" s="64"/>
      <c r="BS25" s="64"/>
      <c r="BT25" s="64"/>
      <c r="BU25" s="64"/>
      <c r="BV25" s="64"/>
      <c r="BW25" s="64"/>
      <c r="BX25" s="64"/>
      <c r="BY25" s="64"/>
      <c r="BZ25" s="64"/>
    </row>
    <row r="26" spans="1:78" s="3" customFormat="1" ht="21">
      <c r="A26" s="19"/>
      <c r="B26" s="43" t="s">
        <v>23</v>
      </c>
      <c r="C26" s="44"/>
      <c r="D26" s="45"/>
      <c r="E26" s="77">
        <v>46133</v>
      </c>
      <c r="F26" s="78">
        <v>46133</v>
      </c>
      <c r="G26" s="25"/>
      <c r="H26" s="25">
        <f t="shared" ca="1" si="17"/>
        <v>1</v>
      </c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64"/>
      <c r="AS26" s="64"/>
      <c r="AT26" s="64"/>
      <c r="AU26" s="64"/>
      <c r="AV26" s="64"/>
      <c r="AW26" s="64"/>
      <c r="AX26" s="64"/>
      <c r="AY26" s="64"/>
      <c r="AZ26" s="64"/>
      <c r="BA26" s="64"/>
      <c r="BB26" s="64"/>
      <c r="BC26" s="64"/>
      <c r="BD26" s="64"/>
      <c r="BE26" s="64"/>
      <c r="BF26" s="64"/>
      <c r="BG26" s="64"/>
      <c r="BH26" s="64"/>
      <c r="BI26" s="64"/>
      <c r="BJ26" s="64"/>
      <c r="BK26" s="64"/>
      <c r="BL26" s="64"/>
      <c r="BM26" s="64"/>
      <c r="BN26" s="64"/>
      <c r="BO26" s="64"/>
      <c r="BP26" s="64"/>
      <c r="BQ26" s="64"/>
      <c r="BR26" s="64"/>
      <c r="BS26" s="64"/>
      <c r="BT26" s="64"/>
      <c r="BU26" s="64"/>
      <c r="BV26" s="64"/>
      <c r="BW26" s="64"/>
      <c r="BX26" s="64"/>
      <c r="BY26" s="64"/>
      <c r="BZ26" s="64"/>
    </row>
    <row r="27" spans="1:78" s="3" customFormat="1" ht="21">
      <c r="A27" s="19"/>
      <c r="B27" s="43" t="s">
        <v>24</v>
      </c>
      <c r="C27" s="44"/>
      <c r="D27" s="45"/>
      <c r="E27" s="77">
        <v>46133</v>
      </c>
      <c r="F27" s="78">
        <v>46133</v>
      </c>
      <c r="G27" s="25"/>
      <c r="H27" s="25">
        <f t="shared" ca="1" si="17"/>
        <v>1</v>
      </c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  <c r="AN27" s="64"/>
      <c r="AO27" s="64"/>
      <c r="AP27" s="64"/>
      <c r="AQ27" s="64"/>
      <c r="AR27" s="64"/>
      <c r="AS27" s="64"/>
      <c r="AT27" s="64"/>
      <c r="AU27" s="64"/>
      <c r="AV27" s="64"/>
      <c r="AW27" s="64"/>
      <c r="AX27" s="64"/>
      <c r="AY27" s="64"/>
      <c r="AZ27" s="64"/>
      <c r="BA27" s="64"/>
      <c r="BB27" s="64"/>
      <c r="BC27" s="64"/>
      <c r="BD27" s="64"/>
      <c r="BE27" s="64"/>
      <c r="BF27" s="64"/>
      <c r="BG27" s="64"/>
      <c r="BH27" s="64"/>
      <c r="BI27" s="64"/>
      <c r="BJ27" s="64"/>
      <c r="BK27" s="64"/>
      <c r="BL27" s="64"/>
      <c r="BM27" s="64"/>
      <c r="BN27" s="64"/>
      <c r="BO27" s="64"/>
      <c r="BP27" s="64"/>
      <c r="BQ27" s="64"/>
      <c r="BR27" s="64"/>
      <c r="BS27" s="64"/>
      <c r="BT27" s="64"/>
      <c r="BU27" s="64"/>
      <c r="BV27" s="64"/>
      <c r="BW27" s="64"/>
      <c r="BX27" s="64"/>
      <c r="BY27" s="64"/>
      <c r="BZ27" s="64"/>
    </row>
    <row r="28" spans="1:78" s="3" customFormat="1" ht="21">
      <c r="A28" s="19"/>
      <c r="B28" s="43" t="s">
        <v>25</v>
      </c>
      <c r="C28" s="44"/>
      <c r="D28" s="45"/>
      <c r="E28" s="77">
        <v>46133</v>
      </c>
      <c r="F28" s="78">
        <v>46133</v>
      </c>
      <c r="G28" s="25"/>
      <c r="H28" s="25">
        <f t="shared" ca="1" si="17"/>
        <v>1</v>
      </c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  <c r="BC28" s="64"/>
      <c r="BD28" s="64"/>
      <c r="BE28" s="64"/>
      <c r="BF28" s="64"/>
      <c r="BG28" s="64"/>
      <c r="BH28" s="64"/>
      <c r="BI28" s="64"/>
      <c r="BJ28" s="64"/>
      <c r="BK28" s="64"/>
      <c r="BL28" s="64"/>
      <c r="BM28" s="64"/>
      <c r="BN28" s="64"/>
      <c r="BO28" s="64"/>
      <c r="BP28" s="64"/>
      <c r="BQ28" s="64"/>
      <c r="BR28" s="64"/>
      <c r="BS28" s="64"/>
      <c r="BT28" s="64"/>
      <c r="BU28" s="64"/>
      <c r="BV28" s="64"/>
      <c r="BW28" s="64"/>
      <c r="BX28" s="64"/>
      <c r="BY28" s="64"/>
      <c r="BZ28" s="64"/>
    </row>
    <row r="29" spans="1:78" s="3" customFormat="1" ht="21">
      <c r="A29" s="19"/>
      <c r="B29" s="43" t="s">
        <v>26</v>
      </c>
      <c r="C29" s="44"/>
      <c r="D29" s="45"/>
      <c r="E29" s="77">
        <v>46133</v>
      </c>
      <c r="F29" s="78">
        <v>46133</v>
      </c>
      <c r="G29" s="25"/>
      <c r="H29" s="25">
        <f t="shared" ca="1" si="17"/>
        <v>1</v>
      </c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4"/>
      <c r="BN29" s="64"/>
      <c r="BO29" s="64"/>
      <c r="BP29" s="64"/>
      <c r="BQ29" s="64"/>
      <c r="BR29" s="64"/>
      <c r="BS29" s="64"/>
      <c r="BT29" s="64"/>
      <c r="BU29" s="64"/>
      <c r="BV29" s="64"/>
      <c r="BW29" s="64"/>
      <c r="BX29" s="64"/>
      <c r="BY29" s="64"/>
      <c r="BZ29" s="64"/>
    </row>
    <row r="30" spans="1:78" s="3" customFormat="1" ht="21">
      <c r="A30" s="19"/>
      <c r="B30" s="43" t="s">
        <v>27</v>
      </c>
      <c r="C30" s="44"/>
      <c r="D30" s="45"/>
      <c r="E30" s="77">
        <v>46133</v>
      </c>
      <c r="F30" s="78">
        <v>46133</v>
      </c>
      <c r="G30" s="25"/>
      <c r="H30" s="25">
        <f t="shared" ca="1" si="17"/>
        <v>1</v>
      </c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64"/>
      <c r="BU30" s="64"/>
      <c r="BV30" s="64"/>
      <c r="BW30" s="64"/>
      <c r="BX30" s="64"/>
      <c r="BY30" s="64"/>
      <c r="BZ30" s="64"/>
    </row>
    <row r="31" spans="1:78" s="3" customFormat="1" ht="21">
      <c r="A31" s="19"/>
      <c r="B31" s="46" t="s">
        <v>29</v>
      </c>
      <c r="C31" s="47"/>
      <c r="D31" s="48"/>
      <c r="E31" s="79"/>
      <c r="F31" s="80"/>
      <c r="G31" s="25"/>
      <c r="H31" s="25" t="str">
        <f t="shared" ca="1" si="17"/>
        <v/>
      </c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  <c r="BJ31" s="64"/>
      <c r="BK31" s="64"/>
      <c r="BL31" s="64"/>
      <c r="BM31" s="64"/>
      <c r="BN31" s="64"/>
      <c r="BO31" s="64"/>
      <c r="BP31" s="64"/>
      <c r="BQ31" s="64"/>
      <c r="BR31" s="64"/>
      <c r="BS31" s="64"/>
      <c r="BT31" s="64"/>
      <c r="BU31" s="64"/>
      <c r="BV31" s="64"/>
      <c r="BW31" s="64"/>
      <c r="BX31" s="64"/>
      <c r="BY31" s="64"/>
      <c r="BZ31" s="64"/>
    </row>
    <row r="32" spans="1:78" s="3" customFormat="1" ht="21">
      <c r="A32" s="19"/>
      <c r="B32" s="49" t="s">
        <v>23</v>
      </c>
      <c r="C32" s="50"/>
      <c r="D32" s="51"/>
      <c r="E32" s="81">
        <v>46133</v>
      </c>
      <c r="F32" s="82">
        <v>46133</v>
      </c>
      <c r="G32" s="25"/>
      <c r="H32" s="25">
        <f t="shared" ca="1" si="17"/>
        <v>1</v>
      </c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4"/>
      <c r="AP32" s="64"/>
      <c r="AQ32" s="64"/>
      <c r="AR32" s="64"/>
      <c r="AS32" s="64"/>
      <c r="AT32" s="64"/>
      <c r="AU32" s="64"/>
      <c r="AV32" s="64"/>
      <c r="AW32" s="64"/>
      <c r="AX32" s="64"/>
      <c r="AY32" s="64"/>
      <c r="AZ32" s="64"/>
      <c r="BA32" s="64"/>
      <c r="BB32" s="64"/>
      <c r="BC32" s="64"/>
      <c r="BD32" s="64"/>
      <c r="BE32" s="64"/>
      <c r="BF32" s="64"/>
      <c r="BG32" s="64"/>
      <c r="BH32" s="64"/>
      <c r="BI32" s="64"/>
      <c r="BJ32" s="64"/>
      <c r="BK32" s="64"/>
      <c r="BL32" s="64"/>
      <c r="BM32" s="64"/>
      <c r="BN32" s="64"/>
      <c r="BO32" s="64"/>
      <c r="BP32" s="64"/>
      <c r="BQ32" s="64"/>
      <c r="BR32" s="64"/>
      <c r="BS32" s="64"/>
      <c r="BT32" s="64"/>
      <c r="BU32" s="64"/>
      <c r="BV32" s="64"/>
      <c r="BW32" s="64"/>
      <c r="BX32" s="64"/>
      <c r="BY32" s="64"/>
      <c r="BZ32" s="64"/>
    </row>
    <row r="33" spans="1:78" s="3" customFormat="1" ht="21">
      <c r="A33" s="19"/>
      <c r="B33" s="49" t="s">
        <v>24</v>
      </c>
      <c r="C33" s="50"/>
      <c r="D33" s="51"/>
      <c r="E33" s="81">
        <v>46133</v>
      </c>
      <c r="F33" s="82">
        <v>46133</v>
      </c>
      <c r="G33" s="25"/>
      <c r="H33" s="25">
        <f t="shared" ca="1" si="17"/>
        <v>1</v>
      </c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4"/>
      <c r="BN33" s="64"/>
      <c r="BO33" s="64"/>
      <c r="BP33" s="64"/>
      <c r="BQ33" s="64"/>
      <c r="BR33" s="64"/>
      <c r="BS33" s="64"/>
      <c r="BT33" s="64"/>
      <c r="BU33" s="64"/>
      <c r="BV33" s="64"/>
      <c r="BW33" s="64"/>
      <c r="BX33" s="64"/>
      <c r="BY33" s="64"/>
      <c r="BZ33" s="64"/>
    </row>
    <row r="34" spans="1:78" s="3" customFormat="1" ht="21">
      <c r="A34" s="19"/>
      <c r="B34" s="49" t="s">
        <v>25</v>
      </c>
      <c r="C34" s="50"/>
      <c r="D34" s="51"/>
      <c r="E34" s="81">
        <v>46133</v>
      </c>
      <c r="F34" s="82">
        <v>46133</v>
      </c>
      <c r="G34" s="25"/>
      <c r="H34" s="25">
        <f t="shared" ca="1" si="17"/>
        <v>1</v>
      </c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  <c r="BE34" s="64"/>
      <c r="BF34" s="64"/>
      <c r="BG34" s="64"/>
      <c r="BH34" s="64"/>
      <c r="BI34" s="64"/>
      <c r="BJ34" s="64"/>
      <c r="BK34" s="64"/>
      <c r="BL34" s="64"/>
      <c r="BM34" s="64"/>
      <c r="BN34" s="64"/>
      <c r="BO34" s="64"/>
      <c r="BP34" s="64"/>
      <c r="BQ34" s="64"/>
      <c r="BR34" s="64"/>
      <c r="BS34" s="64"/>
      <c r="BT34" s="64"/>
      <c r="BU34" s="64"/>
      <c r="BV34" s="64"/>
      <c r="BW34" s="64"/>
      <c r="BX34" s="64"/>
      <c r="BY34" s="64"/>
      <c r="BZ34" s="64"/>
    </row>
    <row r="35" spans="1:78" s="3" customFormat="1" ht="21">
      <c r="A35" s="19"/>
      <c r="B35" s="49" t="s">
        <v>26</v>
      </c>
      <c r="C35" s="50"/>
      <c r="D35" s="51"/>
      <c r="E35" s="81">
        <v>46133</v>
      </c>
      <c r="F35" s="82">
        <v>46133</v>
      </c>
      <c r="G35" s="25"/>
      <c r="H35" s="25">
        <f t="shared" ca="1" si="17"/>
        <v>1</v>
      </c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  <c r="BC35" s="64"/>
      <c r="BD35" s="64"/>
      <c r="BE35" s="64"/>
      <c r="BF35" s="64"/>
      <c r="BG35" s="64"/>
      <c r="BH35" s="64"/>
      <c r="BI35" s="64"/>
      <c r="BJ35" s="64"/>
      <c r="BK35" s="64"/>
      <c r="BL35" s="64"/>
      <c r="BM35" s="64"/>
      <c r="BN35" s="64"/>
      <c r="BO35" s="64"/>
      <c r="BP35" s="64"/>
      <c r="BQ35" s="64"/>
      <c r="BR35" s="64"/>
      <c r="BS35" s="64"/>
      <c r="BT35" s="64"/>
      <c r="BU35" s="64"/>
      <c r="BV35" s="64"/>
      <c r="BW35" s="64"/>
      <c r="BX35" s="64"/>
      <c r="BY35" s="64"/>
      <c r="BZ35" s="64"/>
    </row>
    <row r="36" spans="1:78" s="3" customFormat="1" ht="21">
      <c r="A36" s="19"/>
      <c r="B36" s="49" t="s">
        <v>27</v>
      </c>
      <c r="C36" s="50"/>
      <c r="D36" s="51"/>
      <c r="E36" s="81">
        <v>46133</v>
      </c>
      <c r="F36" s="82">
        <v>46133</v>
      </c>
      <c r="G36" s="25"/>
      <c r="H36" s="25">
        <f t="shared" ca="1" si="17"/>
        <v>1</v>
      </c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4"/>
      <c r="BB36" s="64"/>
      <c r="BC36" s="64"/>
      <c r="BD36" s="64"/>
      <c r="BE36" s="64"/>
      <c r="BF36" s="64"/>
      <c r="BG36" s="64"/>
      <c r="BH36" s="64"/>
      <c r="BI36" s="64"/>
      <c r="BJ36" s="64"/>
      <c r="BK36" s="64"/>
      <c r="BL36" s="64"/>
      <c r="BM36" s="64"/>
      <c r="BN36" s="64"/>
      <c r="BO36" s="64"/>
      <c r="BP36" s="64"/>
      <c r="BQ36" s="64"/>
      <c r="BR36" s="64"/>
      <c r="BS36" s="64"/>
      <c r="BT36" s="64"/>
      <c r="BU36" s="64"/>
      <c r="BV36" s="64"/>
      <c r="BW36" s="64"/>
      <c r="BX36" s="64"/>
      <c r="BY36" s="64"/>
      <c r="BZ36" s="64"/>
    </row>
    <row r="37" spans="1:78" s="3" customFormat="1" ht="21">
      <c r="A37" s="19"/>
      <c r="B37" s="52" t="s">
        <v>30</v>
      </c>
      <c r="C37" s="53"/>
      <c r="D37" s="54"/>
      <c r="E37" s="83"/>
      <c r="F37" s="84"/>
      <c r="G37" s="25"/>
      <c r="H37" s="25" t="str">
        <f t="shared" ca="1" si="17"/>
        <v/>
      </c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4"/>
      <c r="BN37" s="64"/>
      <c r="BO37" s="64"/>
      <c r="BP37" s="64"/>
      <c r="BQ37" s="64"/>
      <c r="BR37" s="64"/>
      <c r="BS37" s="64"/>
      <c r="BT37" s="64"/>
      <c r="BU37" s="64"/>
      <c r="BV37" s="64"/>
      <c r="BW37" s="64"/>
      <c r="BX37" s="64"/>
      <c r="BY37" s="64"/>
      <c r="BZ37" s="64"/>
    </row>
    <row r="38" spans="1:78" s="3" customFormat="1" ht="21">
      <c r="A38" s="19"/>
      <c r="B38" s="55" t="s">
        <v>23</v>
      </c>
      <c r="C38" s="56"/>
      <c r="D38" s="57"/>
      <c r="E38" s="85">
        <v>46133</v>
      </c>
      <c r="F38" s="86">
        <v>46133</v>
      </c>
      <c r="G38" s="25"/>
      <c r="H38" s="25">
        <f t="shared" ca="1" si="17"/>
        <v>1</v>
      </c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4"/>
      <c r="BB38" s="64"/>
      <c r="BC38" s="64"/>
      <c r="BD38" s="64"/>
      <c r="BE38" s="64"/>
      <c r="BF38" s="64"/>
      <c r="BG38" s="64"/>
      <c r="BH38" s="64"/>
      <c r="BI38" s="64"/>
      <c r="BJ38" s="64"/>
      <c r="BK38" s="64"/>
      <c r="BL38" s="64"/>
      <c r="BM38" s="64"/>
      <c r="BN38" s="64"/>
      <c r="BO38" s="64"/>
      <c r="BP38" s="64"/>
      <c r="BQ38" s="64"/>
      <c r="BR38" s="64"/>
      <c r="BS38" s="64"/>
      <c r="BT38" s="64"/>
      <c r="BU38" s="64"/>
      <c r="BV38" s="64"/>
      <c r="BW38" s="64"/>
      <c r="BX38" s="64"/>
      <c r="BY38" s="64"/>
      <c r="BZ38" s="64"/>
    </row>
    <row r="39" spans="1:78" s="3" customFormat="1" ht="21">
      <c r="A39" s="19"/>
      <c r="B39" s="55" t="s">
        <v>24</v>
      </c>
      <c r="C39" s="56"/>
      <c r="D39" s="57"/>
      <c r="E39" s="85">
        <v>46133</v>
      </c>
      <c r="F39" s="86">
        <v>46133</v>
      </c>
      <c r="G39" s="25"/>
      <c r="H39" s="25">
        <f t="shared" ca="1" si="17"/>
        <v>1</v>
      </c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  <c r="AH39" s="64"/>
      <c r="AI39" s="64"/>
      <c r="AJ39" s="64"/>
      <c r="AK39" s="64"/>
      <c r="AL39" s="64"/>
      <c r="AM39" s="64"/>
      <c r="AN39" s="64"/>
      <c r="AO39" s="64"/>
      <c r="AP39" s="64"/>
      <c r="AQ39" s="64"/>
      <c r="AR39" s="64"/>
      <c r="AS39" s="64"/>
      <c r="AT39" s="64"/>
      <c r="AU39" s="64"/>
      <c r="AV39" s="64"/>
      <c r="AW39" s="64"/>
      <c r="AX39" s="64"/>
      <c r="AY39" s="64"/>
      <c r="AZ39" s="64"/>
      <c r="BA39" s="64"/>
      <c r="BB39" s="64"/>
      <c r="BC39" s="64"/>
      <c r="BD39" s="64"/>
      <c r="BE39" s="64"/>
      <c r="BF39" s="64"/>
      <c r="BG39" s="64"/>
      <c r="BH39" s="64"/>
      <c r="BI39" s="64"/>
      <c r="BJ39" s="64"/>
      <c r="BK39" s="64"/>
      <c r="BL39" s="64"/>
      <c r="BM39" s="64"/>
      <c r="BN39" s="64"/>
      <c r="BO39" s="64"/>
      <c r="BP39" s="64"/>
      <c r="BQ39" s="64"/>
      <c r="BR39" s="64"/>
      <c r="BS39" s="64"/>
      <c r="BT39" s="64"/>
      <c r="BU39" s="64"/>
      <c r="BV39" s="64"/>
      <c r="BW39" s="64"/>
      <c r="BX39" s="64"/>
      <c r="BY39" s="64"/>
      <c r="BZ39" s="64"/>
    </row>
    <row r="40" spans="1:78" s="3" customFormat="1" ht="21">
      <c r="A40" s="19"/>
      <c r="B40" s="55" t="s">
        <v>25</v>
      </c>
      <c r="C40" s="56"/>
      <c r="D40" s="57"/>
      <c r="E40" s="85">
        <v>46133</v>
      </c>
      <c r="F40" s="86">
        <v>46133</v>
      </c>
      <c r="G40" s="25"/>
      <c r="H40" s="25">
        <f t="shared" ca="1" si="17"/>
        <v>1</v>
      </c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  <c r="BC40" s="64"/>
      <c r="BD40" s="64"/>
      <c r="BE40" s="64"/>
      <c r="BF40" s="64"/>
      <c r="BG40" s="64"/>
      <c r="BH40" s="64"/>
      <c r="BI40" s="64"/>
      <c r="BJ40" s="64"/>
      <c r="BK40" s="64"/>
      <c r="BL40" s="64"/>
      <c r="BM40" s="64"/>
      <c r="BN40" s="64"/>
      <c r="BO40" s="64"/>
      <c r="BP40" s="64"/>
      <c r="BQ40" s="64"/>
      <c r="BR40" s="64"/>
      <c r="BS40" s="64"/>
      <c r="BT40" s="64"/>
      <c r="BU40" s="64"/>
      <c r="BV40" s="64"/>
      <c r="BW40" s="64"/>
      <c r="BX40" s="64"/>
      <c r="BY40" s="64"/>
      <c r="BZ40" s="64"/>
    </row>
    <row r="41" spans="1:78" s="3" customFormat="1" ht="21">
      <c r="A41" s="19"/>
      <c r="B41" s="55" t="s">
        <v>26</v>
      </c>
      <c r="C41" s="56"/>
      <c r="D41" s="57"/>
      <c r="E41" s="85">
        <v>46133</v>
      </c>
      <c r="F41" s="86">
        <v>46133</v>
      </c>
      <c r="G41" s="25"/>
      <c r="H41" s="25">
        <f t="shared" ca="1" si="17"/>
        <v>1</v>
      </c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  <c r="BB41" s="64"/>
      <c r="BC41" s="64"/>
      <c r="BD41" s="64"/>
      <c r="BE41" s="64"/>
      <c r="BF41" s="64"/>
      <c r="BG41" s="64"/>
      <c r="BH41" s="64"/>
      <c r="BI41" s="64"/>
      <c r="BJ41" s="64"/>
      <c r="BK41" s="64"/>
      <c r="BL41" s="64"/>
      <c r="BM41" s="64"/>
      <c r="BN41" s="64"/>
      <c r="BO41" s="64"/>
      <c r="BP41" s="64"/>
      <c r="BQ41" s="64"/>
      <c r="BR41" s="64"/>
      <c r="BS41" s="64"/>
      <c r="BT41" s="64"/>
      <c r="BU41" s="64"/>
      <c r="BV41" s="64"/>
      <c r="BW41" s="64"/>
      <c r="BX41" s="64"/>
      <c r="BY41" s="64"/>
      <c r="BZ41" s="64"/>
    </row>
    <row r="42" spans="1:78" s="3" customFormat="1" ht="21">
      <c r="A42" s="19"/>
      <c r="B42" s="55" t="s">
        <v>27</v>
      </c>
      <c r="C42" s="56"/>
      <c r="D42" s="57"/>
      <c r="E42" s="85">
        <v>46133</v>
      </c>
      <c r="F42" s="86">
        <v>46133</v>
      </c>
      <c r="G42" s="25"/>
      <c r="H42" s="25">
        <f t="shared" ca="1" si="17"/>
        <v>1</v>
      </c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4"/>
      <c r="AP42" s="64"/>
      <c r="AQ42" s="64"/>
      <c r="AR42" s="64"/>
      <c r="AS42" s="64"/>
      <c r="AT42" s="64"/>
      <c r="AU42" s="64"/>
      <c r="AV42" s="64"/>
      <c r="AW42" s="64"/>
      <c r="AX42" s="64"/>
      <c r="AY42" s="64"/>
      <c r="AZ42" s="64"/>
      <c r="BA42" s="64"/>
      <c r="BB42" s="64"/>
      <c r="BC42" s="64"/>
      <c r="BD42" s="64"/>
      <c r="BE42" s="64"/>
      <c r="BF42" s="64"/>
      <c r="BG42" s="64"/>
      <c r="BH42" s="64"/>
      <c r="BI42" s="64"/>
      <c r="BJ42" s="64"/>
      <c r="BK42" s="64"/>
      <c r="BL42" s="64"/>
      <c r="BM42" s="64"/>
      <c r="BN42" s="64"/>
      <c r="BO42" s="64"/>
      <c r="BP42" s="64"/>
      <c r="BQ42" s="64"/>
      <c r="BR42" s="64"/>
      <c r="BS42" s="64"/>
      <c r="BT42" s="64"/>
      <c r="BU42" s="64"/>
      <c r="BV42" s="64"/>
      <c r="BW42" s="64"/>
      <c r="BX42" s="64"/>
      <c r="BY42" s="64"/>
      <c r="BZ42" s="64"/>
    </row>
    <row r="43" spans="1:78" s="3" customFormat="1" ht="21">
      <c r="A43" s="19"/>
      <c r="B43" s="20"/>
      <c r="C43" s="21"/>
      <c r="D43" s="22"/>
      <c r="E43" s="23"/>
      <c r="F43" s="24"/>
      <c r="G43" s="25"/>
      <c r="H43" s="25" t="str">
        <f t="shared" ca="1" si="17"/>
        <v/>
      </c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4"/>
      <c r="AR43" s="64"/>
      <c r="AS43" s="64"/>
      <c r="AT43" s="64"/>
      <c r="AU43" s="64"/>
      <c r="AV43" s="64"/>
      <c r="AW43" s="64"/>
      <c r="AX43" s="64"/>
      <c r="AY43" s="64"/>
      <c r="AZ43" s="64"/>
      <c r="BA43" s="64"/>
      <c r="BB43" s="64"/>
      <c r="BC43" s="64"/>
      <c r="BD43" s="64"/>
      <c r="BE43" s="64"/>
      <c r="BF43" s="64"/>
      <c r="BG43" s="64"/>
      <c r="BH43" s="64"/>
      <c r="BI43" s="64"/>
      <c r="BJ43" s="64"/>
      <c r="BK43" s="64"/>
      <c r="BL43" s="64"/>
      <c r="BM43" s="64"/>
      <c r="BN43" s="64"/>
      <c r="BO43" s="64"/>
      <c r="BP43" s="64"/>
      <c r="BQ43" s="64"/>
      <c r="BR43" s="64"/>
      <c r="BS43" s="64"/>
      <c r="BT43" s="64"/>
      <c r="BU43" s="64"/>
      <c r="BV43" s="64"/>
      <c r="BW43" s="64"/>
      <c r="BX43" s="64"/>
      <c r="BY43" s="64"/>
      <c r="BZ43" s="64"/>
    </row>
    <row r="44" spans="1:78" s="3" customFormat="1" ht="21">
      <c r="A44" s="19"/>
      <c r="B44" s="20"/>
      <c r="C44" s="21"/>
      <c r="D44" s="22"/>
      <c r="E44" s="23"/>
      <c r="F44" s="24"/>
      <c r="G44" s="25"/>
      <c r="H44" s="25" t="str">
        <f t="shared" ca="1" si="17"/>
        <v/>
      </c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  <c r="AH44" s="64"/>
      <c r="AI44" s="64"/>
      <c r="AJ44" s="64"/>
      <c r="AK44" s="64"/>
      <c r="AL44" s="64"/>
      <c r="AM44" s="64"/>
      <c r="AN44" s="64"/>
      <c r="AO44" s="64"/>
      <c r="AP44" s="64"/>
      <c r="AQ44" s="64"/>
      <c r="AR44" s="64"/>
      <c r="AS44" s="64"/>
      <c r="AT44" s="64"/>
      <c r="AU44" s="64"/>
      <c r="AV44" s="64"/>
      <c r="AW44" s="64"/>
      <c r="AX44" s="64"/>
      <c r="AY44" s="64"/>
      <c r="AZ44" s="64"/>
      <c r="BA44" s="64"/>
      <c r="BB44" s="64"/>
      <c r="BC44" s="64"/>
      <c r="BD44" s="64"/>
      <c r="BE44" s="64"/>
      <c r="BF44" s="64"/>
      <c r="BG44" s="64"/>
      <c r="BH44" s="64"/>
      <c r="BI44" s="64"/>
      <c r="BJ44" s="64"/>
      <c r="BK44" s="64"/>
      <c r="BL44" s="64"/>
      <c r="BM44" s="64"/>
      <c r="BN44" s="64"/>
      <c r="BO44" s="64"/>
      <c r="BP44" s="64"/>
      <c r="BQ44" s="64"/>
      <c r="BR44" s="64"/>
      <c r="BS44" s="64"/>
      <c r="BT44" s="64"/>
      <c r="BU44" s="64"/>
      <c r="BV44" s="64"/>
      <c r="BW44" s="64"/>
      <c r="BX44" s="64"/>
      <c r="BY44" s="64"/>
      <c r="BZ44" s="64"/>
    </row>
    <row r="45" spans="1:78" s="3" customFormat="1" ht="21">
      <c r="A45" s="19"/>
      <c r="B45" s="20"/>
      <c r="C45" s="21"/>
      <c r="D45" s="22"/>
      <c r="E45" s="23"/>
      <c r="F45" s="24"/>
      <c r="G45" s="25"/>
      <c r="H45" s="25" t="str">
        <f t="shared" ca="1" si="17"/>
        <v/>
      </c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  <c r="BC45" s="64"/>
      <c r="BD45" s="64"/>
      <c r="BE45" s="64"/>
      <c r="BF45" s="64"/>
      <c r="BG45" s="64"/>
      <c r="BH45" s="64"/>
      <c r="BI45" s="64"/>
      <c r="BJ45" s="64"/>
      <c r="BK45" s="64"/>
      <c r="BL45" s="64"/>
      <c r="BM45" s="64"/>
      <c r="BN45" s="64"/>
      <c r="BO45" s="64"/>
      <c r="BP45" s="64"/>
      <c r="BQ45" s="64"/>
      <c r="BR45" s="64"/>
      <c r="BS45" s="64"/>
      <c r="BT45" s="64"/>
      <c r="BU45" s="64"/>
      <c r="BV45" s="64"/>
      <c r="BW45" s="64"/>
      <c r="BX45" s="64"/>
      <c r="BY45" s="64"/>
      <c r="BZ45" s="64"/>
    </row>
    <row r="46" spans="1:78" s="3" customFormat="1" ht="21">
      <c r="A46" s="19"/>
      <c r="B46" s="58" t="s">
        <v>31</v>
      </c>
      <c r="C46" s="59"/>
      <c r="D46" s="60"/>
      <c r="E46" s="61"/>
      <c r="F46" s="62"/>
      <c r="G46" s="63"/>
      <c r="H46" s="63" t="str">
        <f t="shared" ca="1" si="17"/>
        <v/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66"/>
      <c r="BJ46" s="66"/>
      <c r="BK46" s="66"/>
      <c r="BL46" s="66"/>
      <c r="BM46" s="66"/>
      <c r="BN46" s="66"/>
      <c r="BO46" s="66"/>
      <c r="BP46" s="66"/>
      <c r="BQ46" s="66"/>
      <c r="BR46" s="66"/>
      <c r="BS46" s="66"/>
      <c r="BT46" s="66"/>
      <c r="BU46" s="66"/>
      <c r="BV46" s="66"/>
      <c r="BW46" s="66"/>
      <c r="BX46" s="66"/>
      <c r="BY46" s="66"/>
      <c r="BZ46" s="66"/>
    </row>
    <row r="47" spans="1:78">
      <c r="A47" s="6"/>
      <c r="G47" s="6"/>
    </row>
    <row r="48" spans="1:78">
      <c r="B48" s="17"/>
      <c r="C48" s="17"/>
      <c r="F48" s="67">
        <v>43113</v>
      </c>
    </row>
    <row r="49" spans="2:3">
      <c r="B49" s="70"/>
      <c r="C49" s="18"/>
    </row>
    <row r="50" spans="2:3">
      <c r="B50" s="69"/>
    </row>
  </sheetData>
  <mergeCells count="13">
    <mergeCell ref="BM4:BS4"/>
    <mergeCell ref="BT4:BZ4"/>
    <mergeCell ref="E2:F2"/>
    <mergeCell ref="I4:O4"/>
    <mergeCell ref="P4:V4"/>
    <mergeCell ref="W4:AC4"/>
    <mergeCell ref="AD4:AJ4"/>
    <mergeCell ref="E3:F3"/>
    <mergeCell ref="J1:AA1"/>
    <mergeCell ref="AK4:AQ4"/>
    <mergeCell ref="AR4:AX4"/>
    <mergeCell ref="AY4:BE4"/>
    <mergeCell ref="BF4:BL4"/>
  </mergeCells>
  <conditionalFormatting sqref="D7:D46">
    <cfRule type="dataBar" priority="18">
      <dataBar>
        <cfvo type="num" val="0"/>
        <cfvo type="num" val="1"/>
        <color theme="0" tint="-0.249977111117893"/>
      </dataBar>
      <extLst>
        <ext xmlns:x14="http://schemas.microsoft.com/office/spreadsheetml/2009/9/main" uri="{B025F937-C7B1-47D3-B67F-A62EFF666E3E}">
          <x14:id>{B0389232-4C98-4A03-AD0E-39F63BAD1F53}</x14:id>
        </ext>
      </extLst>
    </cfRule>
  </conditionalFormatting>
  <conditionalFormatting sqref="I7:BL46">
    <cfRule type="expression" dxfId="8" priority="31">
      <formula>AND(task_start&lt;=I$5,ROUNDDOWN((task_end-task_start+1)*task_progress,0)+task_start-1&gt;=I$5)</formula>
    </cfRule>
    <cfRule type="expression" dxfId="7" priority="32" stopIfTrue="1">
      <formula>AND(task_end&gt;=I$5,task_start&lt;I$5+1)</formula>
    </cfRule>
  </conditionalFormatting>
  <conditionalFormatting sqref="I5:BL46">
    <cfRule type="expression" dxfId="6" priority="33">
      <formula>AND(today&gt;=I$5,today&lt;I$5+1)</formula>
    </cfRule>
  </conditionalFormatting>
  <conditionalFormatting sqref="BM7:BS46">
    <cfRule type="expression" dxfId="5" priority="4">
      <formula>AND(task_start&lt;=BM$5,ROUNDDOWN((task_end-task_start+1)*task_progress,0)+task_start-1&gt;=BM$5)</formula>
    </cfRule>
    <cfRule type="expression" dxfId="4" priority="5" stopIfTrue="1">
      <formula>AND(task_end&gt;=BM$5,task_start&lt;BM$5+1)</formula>
    </cfRule>
  </conditionalFormatting>
  <conditionalFormatting sqref="BM5:BS46">
    <cfRule type="expression" dxfId="3" priority="6">
      <formula>AND(today&gt;=BM$5,today&lt;BM$5+1)</formula>
    </cfRule>
  </conditionalFormatting>
  <conditionalFormatting sqref="BT7:BZ46">
    <cfRule type="expression" dxfId="2" priority="1">
      <formula>AND(task_start&lt;=BT$5,ROUNDDOWN((task_end-task_start+1)*task_progress,0)+task_start-1&gt;=BT$5)</formula>
    </cfRule>
    <cfRule type="expression" dxfId="1" priority="2" stopIfTrue="1">
      <formula>AND(task_end&gt;=BT$5,task_start&lt;BT$5+1)</formula>
    </cfRule>
  </conditionalFormatting>
  <conditionalFormatting sqref="BT5:BZ46">
    <cfRule type="expression" dxfId="0" priority="3">
      <formula>AND(today&gt;=BT$5,today&lt;BT$5+1)</formula>
    </cfRule>
  </conditionalFormatting>
  <dataValidations count="1">
    <dataValidation type="whole" operator="greaterThanOrEqual" allowBlank="1" showInputMessage="1" promptTitle="Display Week" prompt="Changing this number will scroll the Gantt Chart view." sqref="E4" xr:uid="{00000000-0002-0000-0000-000000000000}">
      <formula1>1</formula1>
    </dataValidation>
  </dataValidations>
  <pageMargins left="0.35" right="0.35" top="0.35" bottom="0.5" header="0.3" footer="0.3"/>
  <pageSetup scale="62" fitToHeight="0" orientation="landscape" r:id="rId1"/>
  <headerFooter scaleWithDoc="0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389232-4C98-4A03-AD0E-39F63BAD1F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D7:D46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Simple Gantt Chart</dc:title>
  <dc:subject/>
  <dc:creator>Vertex42.com</dc:creator>
  <cp:keywords/>
  <dc:description>© 2018-2019 Vertex42 LLC. All Rights Reserved.</dc:description>
  <cp:lastModifiedBy/>
  <cp:revision/>
  <dcterms:created xsi:type="dcterms:W3CDTF">2017-01-09T18:01:51Z</dcterms:created>
  <dcterms:modified xsi:type="dcterms:W3CDTF">2026-04-21T19:02:49Z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urce">
    <vt:lpwstr>https://www.vertex42.com/</vt:lpwstr>
  </property>
  <property fmtid="{D5CDD505-2E9C-101B-9397-08002B2CF9AE}" pid="3" name="Copyright">
    <vt:lpwstr>© 2019 Vertex42 LLC</vt:lpwstr>
  </property>
  <property fmtid="{D5CDD505-2E9C-101B-9397-08002B2CF9AE}" pid="4" name="Version">
    <vt:lpwstr>1.0.1</vt:lpwstr>
  </property>
</Properties>
</file>